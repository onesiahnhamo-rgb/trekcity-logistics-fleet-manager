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UEL-SUPPLIES\"/>
    </mc:Choice>
  </mc:AlternateContent>
  <xr:revisionPtr revIDLastSave="0" documentId="8_{006E363F-9695-4C48-949C-29D692A356BC}" xr6:coauthVersionLast="47" xr6:coauthVersionMax="47" xr10:uidLastSave="{00000000-0000-0000-0000-000000000000}"/>
  <bookViews>
    <workbookView xWindow="-108" yWindow="-108" windowWidth="23256" windowHeight="12456" activeTab="1" xr2:uid="{66AD4FBD-DB6C-47CE-82C2-BEBB86FA9DEB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E3" i="2"/>
  <c r="I3" i="2" s="1"/>
  <c r="J3" i="2" s="1"/>
  <c r="K3" i="2" s="1"/>
  <c r="H2" i="2"/>
  <c r="E2" i="2"/>
  <c r="I2" i="2" s="1"/>
  <c r="J2" i="2" s="1"/>
  <c r="K2" i="2" s="1"/>
  <c r="K8" i="1"/>
  <c r="K7" i="1"/>
  <c r="I7" i="1"/>
  <c r="J8" i="1"/>
  <c r="J7" i="1"/>
  <c r="M21" i="1"/>
  <c r="M20" i="1"/>
  <c r="E8" i="1" l="1"/>
  <c r="E7" i="1"/>
  <c r="I8" i="1"/>
  <c r="H8" i="1"/>
  <c r="H7" i="1"/>
  <c r="D2" i="1" l="1"/>
  <c r="D3" i="1"/>
  <c r="D4" i="1"/>
  <c r="D5" i="1"/>
</calcChain>
</file>

<file path=xl/sharedStrings.xml><?xml version="1.0" encoding="utf-8"?>
<sst xmlns="http://schemas.openxmlformats.org/spreadsheetml/2006/main" count="81" uniqueCount="41">
  <si>
    <t>Creditor</t>
  </si>
  <si>
    <t>Total Debt</t>
  </si>
  <si>
    <t>Monthly Payment</t>
  </si>
  <si>
    <t>Balance Remaining</t>
  </si>
  <si>
    <t>Status</t>
  </si>
  <si>
    <t>Fungayi</t>
  </si>
  <si>
    <t>Mma Seapei</t>
  </si>
  <si>
    <t>Worksuit</t>
  </si>
  <si>
    <t>Advance</t>
  </si>
  <si>
    <t>TRUCK REGISTRATION</t>
  </si>
  <si>
    <t>OFFLOAD DATE</t>
  </si>
  <si>
    <t>LOADED TONNES</t>
  </si>
  <si>
    <t>TRIP PAY</t>
  </si>
  <si>
    <t>ACTUAL TRIP PAY</t>
  </si>
  <si>
    <t>AMOUNT BWP</t>
  </si>
  <si>
    <t>B 906 BWY</t>
  </si>
  <si>
    <t>B 148 BWY</t>
  </si>
  <si>
    <t>FUEL</t>
  </si>
  <si>
    <t>FUEL RATE</t>
  </si>
  <si>
    <t>LITRES</t>
  </si>
  <si>
    <t>RATE (ZAR)</t>
  </si>
  <si>
    <t>Ruang Tumedi</t>
  </si>
  <si>
    <t>GASA</t>
  </si>
  <si>
    <t>MUTSUMI</t>
  </si>
  <si>
    <t>Maize</t>
  </si>
  <si>
    <t>NWK SILO</t>
  </si>
  <si>
    <t>IRVINES</t>
  </si>
  <si>
    <t>26/03/2026</t>
  </si>
  <si>
    <t>28/03/2026</t>
  </si>
  <si>
    <t>Kereng Mosoma</t>
  </si>
  <si>
    <t>B148BWZ</t>
  </si>
  <si>
    <t>Coal</t>
  </si>
  <si>
    <t>Mmamabula</t>
  </si>
  <si>
    <t>Carolina</t>
  </si>
  <si>
    <t>30/03/2026</t>
  </si>
  <si>
    <t>31/03/2026</t>
  </si>
  <si>
    <t>B906BWY</t>
  </si>
  <si>
    <t>Ba-Gamodikwa</t>
  </si>
  <si>
    <t>Makwassie</t>
  </si>
  <si>
    <t>Bulawayo</t>
  </si>
  <si>
    <t>AMT IN BWP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</si>
</sst>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3" fontId="0" fillId="0" borderId="0" xfId="1" applyFont="1"/>
    <xf numFmtId="43" fontId="4" fillId="0" borderId="1" xfId="1" applyFont="1" applyBorder="1" applyAlignment="1"/>
    <xf numFmtId="43" fontId="0" fillId="0" borderId="1" xfId="1" applyFont="1" applyBorder="1"/>
    <xf numFmtId="43" fontId="3" fillId="0" borderId="0" xfId="1" applyFont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43" fontId="0" fillId="0" borderId="1" xfId="1" applyFont="1" applyFill="1" applyBorder="1"/>
    <xf numFmtId="43" fontId="0" fillId="0" borderId="1" xfId="1" applyFont="1" applyBorder="1" applyAlignment="1">
      <alignment vertical="center" wrapText="1"/>
    </xf>
    <xf numFmtId="43" fontId="0" fillId="0" borderId="1" xfId="1" applyFont="1" applyFill="1" applyBorder="1" applyAlignment="1">
      <alignment vertical="center" wrapText="1"/>
    </xf>
    <xf numFmtId="0" fontId="0" fillId="2" borderId="2" xfId="0" applyFill="1" applyBorder="1"/>
    <xf numFmtId="168" fontId="0" fillId="2" borderId="2" xfId="0" applyNumberFormat="1" applyFill="1" applyBorder="1" applyAlignment="1">
      <alignment horizontal="right"/>
    </xf>
    <xf numFmtId="4" fontId="0" fillId="2" borderId="2" xfId="0" applyNumberFormat="1" applyFill="1" applyBorder="1"/>
    <xf numFmtId="0" fontId="0" fillId="0" borderId="2" xfId="0" applyBorder="1"/>
    <xf numFmtId="168" fontId="0" fillId="0" borderId="2" xfId="0" applyNumberFormat="1" applyBorder="1" applyAlignment="1">
      <alignment horizontal="right"/>
    </xf>
    <xf numFmtId="4" fontId="0" fillId="0" borderId="2" xfId="0" applyNumberFormat="1" applyBorder="1"/>
    <xf numFmtId="43" fontId="2" fillId="3" borderId="2" xfId="1" applyFont="1" applyFill="1" applyBorder="1"/>
    <xf numFmtId="43" fontId="0" fillId="0" borderId="2" xfId="1" applyFont="1" applyBorder="1"/>
    <xf numFmtId="14" fontId="0" fillId="0" borderId="1" xfId="0" applyNumberForma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BUST%20GROUP/ultimate_transport_control_dashboar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Load Control"/>
      <sheetName val="Fuel Monitor"/>
      <sheetName val="Debtors Aging"/>
      <sheetName val="Truck Performance"/>
      <sheetName val="Driver Ranking"/>
      <sheetName val="Maintenance Control"/>
      <sheetName val="Clients"/>
      <sheetName val="Drivers"/>
      <sheetName val="Permits Border"/>
      <sheetName val="Executive Dashboard"/>
      <sheetName val="DATABAS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F393-1935-4863-9332-808E82CD74FA}">
  <dimension ref="A1:M21"/>
  <sheetViews>
    <sheetView topLeftCell="A3" workbookViewId="0">
      <selection activeCell="A6" sqref="A6:K8"/>
    </sheetView>
  </sheetViews>
  <sheetFormatPr defaultRowHeight="14.4" x14ac:dyDescent="0.3"/>
  <cols>
    <col min="1" max="1" width="21.77734375" bestFit="1" customWidth="1"/>
    <col min="2" max="2" width="15.44140625" bestFit="1" customWidth="1"/>
    <col min="3" max="3" width="12.6640625" style="8" bestFit="1" customWidth="1"/>
    <col min="4" max="4" width="18.5546875" style="8" bestFit="1" customWidth="1"/>
    <col min="5" max="5" width="10.6640625" style="8" bestFit="1" customWidth="1"/>
    <col min="6" max="6" width="12.109375" style="8" bestFit="1" customWidth="1"/>
    <col min="7" max="7" width="8.21875" style="8" bestFit="1" customWidth="1"/>
    <col min="8" max="8" width="10.109375" style="8" bestFit="1" customWidth="1"/>
    <col min="9" max="9" width="18.77734375" style="8" bestFit="1" customWidth="1"/>
    <col min="10" max="10" width="18.77734375" style="8" customWidth="1"/>
    <col min="11" max="11" width="16.21875" style="8" bestFit="1" customWidth="1"/>
  </cols>
  <sheetData>
    <row r="1" spans="1:11" ht="28.8" x14ac:dyDescent="0.3">
      <c r="A1" s="1" t="s">
        <v>0</v>
      </c>
      <c r="B1" s="1" t="s">
        <v>2</v>
      </c>
      <c r="C1" s="11" t="s">
        <v>1</v>
      </c>
      <c r="D1" s="11" t="s">
        <v>3</v>
      </c>
      <c r="E1" s="11" t="s">
        <v>4</v>
      </c>
      <c r="F1" s="11"/>
      <c r="G1" s="11"/>
    </row>
    <row r="2" spans="1:11" x14ac:dyDescent="0.3">
      <c r="A2" s="2" t="s">
        <v>5</v>
      </c>
      <c r="B2" s="2">
        <v>200</v>
      </c>
      <c r="C2" s="12">
        <v>200</v>
      </c>
      <c r="D2" s="12">
        <f>C2-B2</f>
        <v>0</v>
      </c>
      <c r="E2" s="12"/>
      <c r="F2" s="12"/>
      <c r="G2" s="12"/>
    </row>
    <row r="3" spans="1:11" x14ac:dyDescent="0.3">
      <c r="A3" s="2" t="s">
        <v>6</v>
      </c>
      <c r="B3" s="2">
        <v>350</v>
      </c>
      <c r="C3" s="12">
        <v>350</v>
      </c>
      <c r="D3" s="12">
        <f>C3-B3</f>
        <v>0</v>
      </c>
      <c r="E3" s="12"/>
      <c r="F3" s="12"/>
      <c r="G3" s="12"/>
    </row>
    <row r="4" spans="1:11" x14ac:dyDescent="0.3">
      <c r="A4" s="2" t="s">
        <v>7</v>
      </c>
      <c r="B4" s="2">
        <v>300</v>
      </c>
      <c r="C4" s="12">
        <v>300</v>
      </c>
      <c r="D4" s="12">
        <f>C4-B4</f>
        <v>0</v>
      </c>
      <c r="E4" s="12"/>
      <c r="F4" s="12"/>
      <c r="G4" s="12"/>
    </row>
    <row r="5" spans="1:11" x14ac:dyDescent="0.3">
      <c r="A5" s="2" t="s">
        <v>8</v>
      </c>
      <c r="B5" s="2">
        <v>750</v>
      </c>
      <c r="C5" s="12">
        <v>750</v>
      </c>
      <c r="D5" s="12">
        <f>C5-B5</f>
        <v>0</v>
      </c>
      <c r="E5" s="12"/>
      <c r="F5" s="12"/>
      <c r="G5" s="12"/>
    </row>
    <row r="6" spans="1:11" s="3" customFormat="1" ht="15.6" x14ac:dyDescent="0.3">
      <c r="A6" s="4" t="s">
        <v>9</v>
      </c>
      <c r="B6" s="5" t="s">
        <v>10</v>
      </c>
      <c r="C6" s="9" t="s">
        <v>20</v>
      </c>
      <c r="D6" s="9" t="s">
        <v>11</v>
      </c>
      <c r="E6" s="9" t="s">
        <v>12</v>
      </c>
      <c r="F6" s="9" t="s">
        <v>18</v>
      </c>
      <c r="G6" s="9" t="s">
        <v>19</v>
      </c>
      <c r="H6" s="9" t="s">
        <v>17</v>
      </c>
      <c r="I6" s="9" t="s">
        <v>13</v>
      </c>
      <c r="J6" s="9" t="s">
        <v>40</v>
      </c>
      <c r="K6" s="9" t="s">
        <v>14</v>
      </c>
    </row>
    <row r="7" spans="1:11" x14ac:dyDescent="0.3">
      <c r="A7" s="6" t="s">
        <v>15</v>
      </c>
      <c r="B7" s="24">
        <v>46207</v>
      </c>
      <c r="C7" s="14">
        <v>1400</v>
      </c>
      <c r="D7" s="10">
        <v>35.659999999999997</v>
      </c>
      <c r="E7" s="10">
        <f>C7*D7</f>
        <v>49923.999999999993</v>
      </c>
      <c r="F7" s="10">
        <v>24.75</v>
      </c>
      <c r="G7" s="10">
        <v>700</v>
      </c>
      <c r="H7" s="10">
        <f>G7*F7</f>
        <v>17325</v>
      </c>
      <c r="I7" s="10">
        <f>E7</f>
        <v>49923.999999999993</v>
      </c>
      <c r="J7" s="10">
        <f>I7/1.22</f>
        <v>40921.311475409828</v>
      </c>
      <c r="K7" s="25">
        <f>J7-H7</f>
        <v>23596.311475409828</v>
      </c>
    </row>
    <row r="8" spans="1:11" x14ac:dyDescent="0.3">
      <c r="A8" s="7" t="s">
        <v>16</v>
      </c>
      <c r="B8" s="24">
        <v>46207</v>
      </c>
      <c r="C8" s="15">
        <v>1400</v>
      </c>
      <c r="D8" s="10">
        <v>36.06</v>
      </c>
      <c r="E8" s="10">
        <f>C8*D8</f>
        <v>50484</v>
      </c>
      <c r="F8" s="13">
        <v>24.75</v>
      </c>
      <c r="G8" s="13">
        <v>750</v>
      </c>
      <c r="H8" s="10">
        <f>G8*F8</f>
        <v>18562.5</v>
      </c>
      <c r="I8" s="10">
        <f>E8</f>
        <v>50484</v>
      </c>
      <c r="J8" s="10">
        <f>I8/1.22</f>
        <v>41380.327868852459</v>
      </c>
      <c r="K8" s="25">
        <f>J8-H8</f>
        <v>22817.827868852459</v>
      </c>
    </row>
    <row r="14" spans="1:11" x14ac:dyDescent="0.3">
      <c r="A14" s="16" t="s">
        <v>21</v>
      </c>
      <c r="B14" s="16" t="s">
        <v>22</v>
      </c>
      <c r="C14" s="16" t="s">
        <v>23</v>
      </c>
      <c r="D14" s="16" t="s">
        <v>24</v>
      </c>
      <c r="E14" s="16" t="s">
        <v>25</v>
      </c>
      <c r="F14" s="16" t="s">
        <v>26</v>
      </c>
      <c r="G14" s="17" t="s">
        <v>27</v>
      </c>
      <c r="H14" s="18">
        <v>35.65</v>
      </c>
      <c r="I14" s="17" t="s">
        <v>28</v>
      </c>
      <c r="J14" s="17"/>
      <c r="K14" s="18">
        <v>35.44</v>
      </c>
    </row>
    <row r="15" spans="1:11" x14ac:dyDescent="0.3">
      <c r="A15" s="19" t="s">
        <v>29</v>
      </c>
      <c r="B15" s="19" t="s">
        <v>22</v>
      </c>
      <c r="C15" s="19" t="s">
        <v>23</v>
      </c>
      <c r="D15" s="19" t="s">
        <v>24</v>
      </c>
      <c r="E15" s="19" t="s">
        <v>25</v>
      </c>
      <c r="F15" s="19" t="s">
        <v>26</v>
      </c>
      <c r="G15" s="20" t="s">
        <v>27</v>
      </c>
      <c r="H15" s="21">
        <v>34.9</v>
      </c>
      <c r="I15" s="20" t="s">
        <v>28</v>
      </c>
      <c r="J15" s="20"/>
      <c r="K15" s="21">
        <v>34.659999999999997</v>
      </c>
    </row>
    <row r="17" spans="1:13" x14ac:dyDescent="0.3">
      <c r="A17" s="19" t="s">
        <v>30</v>
      </c>
      <c r="B17" s="19" t="s">
        <v>29</v>
      </c>
      <c r="C17" s="19" t="s">
        <v>22</v>
      </c>
      <c r="D17" s="19" t="s">
        <v>23</v>
      </c>
      <c r="E17" s="19" t="s">
        <v>31</v>
      </c>
      <c r="F17" s="19" t="s">
        <v>32</v>
      </c>
      <c r="G17" s="19" t="s">
        <v>33</v>
      </c>
      <c r="H17" s="20" t="s">
        <v>34</v>
      </c>
      <c r="I17" s="21">
        <v>34.42</v>
      </c>
      <c r="J17" s="21"/>
      <c r="K17" s="20" t="s">
        <v>35</v>
      </c>
      <c r="L17" s="21">
        <v>34.42</v>
      </c>
    </row>
    <row r="18" spans="1:13" x14ac:dyDescent="0.3">
      <c r="A18" s="16" t="s">
        <v>36</v>
      </c>
      <c r="B18" s="16" t="s">
        <v>21</v>
      </c>
      <c r="C18" s="16" t="s">
        <v>22</v>
      </c>
      <c r="D18" s="16" t="s">
        <v>23</v>
      </c>
      <c r="E18" s="16" t="s">
        <v>31</v>
      </c>
      <c r="F18" s="16" t="s">
        <v>32</v>
      </c>
      <c r="G18" s="16" t="s">
        <v>33</v>
      </c>
      <c r="H18" s="17" t="s">
        <v>34</v>
      </c>
      <c r="I18" s="18">
        <v>34.07</v>
      </c>
      <c r="J18" s="18"/>
      <c r="K18" s="17" t="s">
        <v>35</v>
      </c>
      <c r="L18" s="18">
        <v>34.07</v>
      </c>
    </row>
    <row r="20" spans="1:13" x14ac:dyDescent="0.3">
      <c r="A20" s="16" t="s">
        <v>30</v>
      </c>
      <c r="B20" s="16" t="s">
        <v>29</v>
      </c>
      <c r="C20" s="16" t="s">
        <v>37</v>
      </c>
      <c r="D20" s="16"/>
      <c r="E20" s="16" t="s">
        <v>24</v>
      </c>
      <c r="F20" s="16" t="s">
        <v>38</v>
      </c>
      <c r="G20" s="16" t="s">
        <v>39</v>
      </c>
      <c r="H20" s="17">
        <v>46026</v>
      </c>
      <c r="I20" s="18">
        <v>36.68</v>
      </c>
      <c r="J20" s="18"/>
      <c r="K20" s="17">
        <v>46207</v>
      </c>
      <c r="L20" s="18">
        <v>36.06</v>
      </c>
      <c r="M20" s="22">
        <f>[1]!Table1[[#This Row],[OFF SLIP]]-[1]!Table1[[#This Row],[LOAD SLIP]]</f>
        <v>0</v>
      </c>
    </row>
    <row r="21" spans="1:13" x14ac:dyDescent="0.3">
      <c r="A21" s="19" t="s">
        <v>36</v>
      </c>
      <c r="B21" s="19" t="s">
        <v>21</v>
      </c>
      <c r="C21" s="19" t="s">
        <v>37</v>
      </c>
      <c r="D21" s="19"/>
      <c r="E21" s="19" t="s">
        <v>24</v>
      </c>
      <c r="F21" s="19" t="s">
        <v>38</v>
      </c>
      <c r="G21" s="19" t="s">
        <v>39</v>
      </c>
      <c r="H21" s="20">
        <v>46026</v>
      </c>
      <c r="I21" s="21">
        <v>35.85</v>
      </c>
      <c r="J21" s="21"/>
      <c r="K21" s="20">
        <v>46119</v>
      </c>
      <c r="L21" s="21">
        <v>35.659999999999997</v>
      </c>
      <c r="M21" s="23">
        <f>[1]!Table1[[#This Row],[OFF SLIP]]-[1]!Table1[[#This Row],[LOAD SLIP]]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9F24-C831-4AD6-82B5-643620F4E325}">
  <dimension ref="A1:K3"/>
  <sheetViews>
    <sheetView tabSelected="1" workbookViewId="0">
      <selection activeCell="B8" sqref="B8"/>
    </sheetView>
  </sheetViews>
  <sheetFormatPr defaultColWidth="9" defaultRowHeight="14.4" x14ac:dyDescent="0.3"/>
  <cols>
    <col min="1" max="1" width="21.77734375" bestFit="1" customWidth="1"/>
    <col min="2" max="2" width="15.44140625" bestFit="1" customWidth="1"/>
    <col min="3" max="3" width="12.6640625" bestFit="1" customWidth="1"/>
    <col min="4" max="4" width="18.5546875" bestFit="1" customWidth="1"/>
    <col min="5" max="5" width="10.6640625" bestFit="1" customWidth="1"/>
    <col min="6" max="6" width="12.109375" bestFit="1" customWidth="1"/>
    <col min="7" max="7" width="8.21875" bestFit="1" customWidth="1"/>
    <col min="8" max="8" width="10.109375" bestFit="1" customWidth="1"/>
    <col min="9" max="9" width="18.77734375" bestFit="1" customWidth="1"/>
    <col min="10" max="10" width="14.33203125" bestFit="1" customWidth="1"/>
    <col min="11" max="11" width="16.21875" bestFit="1" customWidth="1"/>
  </cols>
  <sheetData>
    <row r="1" spans="1:11" ht="15.6" x14ac:dyDescent="0.3">
      <c r="A1" s="4" t="s">
        <v>9</v>
      </c>
      <c r="B1" s="5" t="s">
        <v>10</v>
      </c>
      <c r="C1" s="9" t="s">
        <v>20</v>
      </c>
      <c r="D1" s="9" t="s">
        <v>11</v>
      </c>
      <c r="E1" s="9" t="s">
        <v>12</v>
      </c>
      <c r="F1" s="9" t="s">
        <v>18</v>
      </c>
      <c r="G1" s="9" t="s">
        <v>19</v>
      </c>
      <c r="H1" s="9" t="s">
        <v>17</v>
      </c>
      <c r="I1" s="9" t="s">
        <v>13</v>
      </c>
      <c r="J1" s="9" t="s">
        <v>40</v>
      </c>
      <c r="K1" s="9" t="s">
        <v>14</v>
      </c>
    </row>
    <row r="2" spans="1:11" ht="28.8" x14ac:dyDescent="0.3">
      <c r="A2" s="6" t="s">
        <v>15</v>
      </c>
      <c r="B2" s="24">
        <v>46207</v>
      </c>
      <c r="C2" s="14">
        <v>1400</v>
      </c>
      <c r="D2" s="10">
        <v>35.659999999999997</v>
      </c>
      <c r="E2" s="10">
        <f>C2*D2</f>
        <v>49923.999999999993</v>
      </c>
      <c r="F2" s="10">
        <v>24.75</v>
      </c>
      <c r="G2" s="10">
        <v>700</v>
      </c>
      <c r="H2" s="10">
        <f>G2*F2</f>
        <v>17325</v>
      </c>
      <c r="I2" s="10">
        <f>E2</f>
        <v>49923.999999999993</v>
      </c>
      <c r="J2" s="10">
        <f>I2/1.22</f>
        <v>40921.311475409828</v>
      </c>
      <c r="K2" s="25">
        <f>J2-H2</f>
        <v>23596.311475409828</v>
      </c>
    </row>
    <row r="3" spans="1:11" ht="28.8" x14ac:dyDescent="0.3">
      <c r="A3" s="7" t="s">
        <v>16</v>
      </c>
      <c r="B3" s="24">
        <v>46207</v>
      </c>
      <c r="C3" s="15">
        <v>1400</v>
      </c>
      <c r="D3" s="10">
        <v>36.06</v>
      </c>
      <c r="E3" s="10">
        <f>C3*D3</f>
        <v>50484</v>
      </c>
      <c r="F3" s="13">
        <v>24.75</v>
      </c>
      <c r="G3" s="13">
        <v>750</v>
      </c>
      <c r="H3" s="10">
        <f>G3*F3</f>
        <v>18562.5</v>
      </c>
      <c r="I3" s="10">
        <f>E3</f>
        <v>50484</v>
      </c>
      <c r="J3" s="10">
        <f>I3/1.22</f>
        <v>41380.327868852459</v>
      </c>
      <c r="K3" s="25">
        <f>J3-H3</f>
        <v>22817.827868852459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2026-03-19T06:52:39Z</dcterms:created>
  <dcterms:modified xsi:type="dcterms:W3CDTF">2026-04-09T14:56:09Z</dcterms:modified>
</cp:coreProperties>
</file>