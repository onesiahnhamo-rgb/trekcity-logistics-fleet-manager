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UEL-SUPPLIES\"/>
    </mc:Choice>
  </mc:AlternateContent>
  <xr:revisionPtr revIDLastSave="0" documentId="13_ncr:1_{9AD1784A-E74C-4959-AD8A-669BBB63D810}" xr6:coauthVersionLast="47" xr6:coauthVersionMax="47" xr10:uidLastSave="{00000000-0000-0000-0000-000000000000}"/>
  <bookViews>
    <workbookView xWindow="-108" yWindow="-108" windowWidth="23256" windowHeight="12456" firstSheet="8" activeTab="10" xr2:uid="{00000000-000D-0000-FFFF-FFFF00000000}"/>
  </bookViews>
  <sheets>
    <sheet name="JUNE" sheetId="4" r:id="rId1"/>
    <sheet name="JULY" sheetId="5" r:id="rId2"/>
    <sheet name="AUGUST" sheetId="6" r:id="rId3"/>
    <sheet name="SEPTEMBER" sheetId="7" r:id="rId4"/>
    <sheet name="JUNE 2025" sheetId="8" r:id="rId5"/>
    <sheet name="JULY 2025" sheetId="9" r:id="rId6"/>
    <sheet name="SEPTEMBER 2025" sheetId="10" r:id="rId7"/>
    <sheet name="JANUARY 2026" sheetId="11" r:id="rId8"/>
    <sheet name="FEBRUARY 2026" sheetId="12" r:id="rId9"/>
    <sheet name="MARCH 2026" sheetId="13" r:id="rId10"/>
    <sheet name="APRI 2026" sheetId="1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4" l="1"/>
  <c r="G10" i="14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D16" i="13"/>
  <c r="D20" i="9" l="1"/>
  <c r="D18" i="9" l="1"/>
  <c r="D15" i="9" l="1"/>
  <c r="D19" i="8" l="1"/>
  <c r="D17" i="8" l="1"/>
  <c r="D15" i="8" l="1"/>
  <c r="D12" i="8" l="1"/>
  <c r="E18" i="7" l="1"/>
  <c r="D15" i="7" l="1"/>
  <c r="D12" i="7" l="1"/>
  <c r="G10" i="7"/>
  <c r="G11" i="7" s="1"/>
  <c r="G12" i="7" s="1"/>
  <c r="G13" i="7" s="1"/>
  <c r="G14" i="7" s="1"/>
  <c r="G15" i="7" s="1"/>
  <c r="G16" i="7" s="1"/>
  <c r="G17" i="7" s="1"/>
  <c r="G18" i="7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10" i="10" s="1"/>
  <c r="G11" i="10" s="1"/>
  <c r="G12" i="10" s="1"/>
  <c r="G13" i="10" s="1"/>
  <c r="G11" i="11" s="1"/>
  <c r="G12" i="11" s="1"/>
  <c r="G13" i="11" s="1"/>
  <c r="G14" i="11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l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10" i="6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D20" i="5" l="1"/>
  <c r="D19" i="5"/>
  <c r="D13" i="5" l="1"/>
  <c r="D12" i="5" l="1"/>
  <c r="G10" i="5" l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10" i="4" l="1"/>
</calcChain>
</file>

<file path=xl/sharedStrings.xml><?xml version="1.0" encoding="utf-8"?>
<sst xmlns="http://schemas.openxmlformats.org/spreadsheetml/2006/main" count="432" uniqueCount="84">
  <si>
    <t>CREDIT LIMIT</t>
  </si>
  <si>
    <t>QUANTITY</t>
  </si>
  <si>
    <t>AMOUNT</t>
  </si>
  <si>
    <t>BALANCE</t>
  </si>
  <si>
    <t>KILOMETERS</t>
  </si>
  <si>
    <t>OPENING BALANCE</t>
  </si>
  <si>
    <t xml:space="preserve">                   </t>
  </si>
  <si>
    <t>P O BOX 58, GABORONE</t>
  </si>
  <si>
    <t>CELL: 72715324/71341021</t>
  </si>
  <si>
    <t>PLOT NO 4786, MOAPARE RD</t>
  </si>
  <si>
    <t>GABORONE</t>
  </si>
  <si>
    <t xml:space="preserve">CUSTOMER </t>
  </si>
  <si>
    <t>P 50 000</t>
  </si>
  <si>
    <t xml:space="preserve">DATE </t>
  </si>
  <si>
    <t>INVOICE NO.</t>
  </si>
  <si>
    <t>ORDER NO.</t>
  </si>
  <si>
    <t>PAYMENTS</t>
  </si>
  <si>
    <t>VEHICLE REGISTRATION NUMBER</t>
  </si>
  <si>
    <t>TRUEVISIONS</t>
  </si>
  <si>
    <t>26.07.2024</t>
  </si>
  <si>
    <t>TRANSFER</t>
  </si>
  <si>
    <t>B 903 BUP</t>
  </si>
  <si>
    <t>B 609 BUP</t>
  </si>
  <si>
    <t>28.07.2024</t>
  </si>
  <si>
    <t>29.07.2024</t>
  </si>
  <si>
    <t>PAYMENT</t>
  </si>
  <si>
    <t>B 906 BUP</t>
  </si>
  <si>
    <t>31.07.2024</t>
  </si>
  <si>
    <t>01.08.2024</t>
  </si>
  <si>
    <t>B 9060BUP</t>
  </si>
  <si>
    <t>10.08.2024</t>
  </si>
  <si>
    <t>05.09.2024</t>
  </si>
  <si>
    <t>06.09.2024</t>
  </si>
  <si>
    <t>09.09.2024</t>
  </si>
  <si>
    <t>10.09.2024</t>
  </si>
  <si>
    <t>11.09.2024</t>
  </si>
  <si>
    <t>B 906 BUP - STATION</t>
  </si>
  <si>
    <t>17.06.2025</t>
  </si>
  <si>
    <t>19.06.2025</t>
  </si>
  <si>
    <t>23.06.2025</t>
  </si>
  <si>
    <t>25.06.2025</t>
  </si>
  <si>
    <t>30.06.2025</t>
  </si>
  <si>
    <t>04.07.2025</t>
  </si>
  <si>
    <t>07.07.2025</t>
  </si>
  <si>
    <t>09.07.2025</t>
  </si>
  <si>
    <t>12.07.2025</t>
  </si>
  <si>
    <t>15.07.2025</t>
  </si>
  <si>
    <t>17.07.2025</t>
  </si>
  <si>
    <t>19.07.2025</t>
  </si>
  <si>
    <t>23.07.2025</t>
  </si>
  <si>
    <t>07.09.2025</t>
  </si>
  <si>
    <t>SWIPE</t>
  </si>
  <si>
    <t>B 906 BWY</t>
  </si>
  <si>
    <t>B 148 BWZ</t>
  </si>
  <si>
    <t>20.01.2026</t>
  </si>
  <si>
    <t>21.01.2026</t>
  </si>
  <si>
    <t>26.01.2026</t>
  </si>
  <si>
    <t>27.01.2026</t>
  </si>
  <si>
    <t>01.02.2026</t>
  </si>
  <si>
    <t>07.02.2026</t>
  </si>
  <si>
    <t xml:space="preserve"> B 148 BWZ</t>
  </si>
  <si>
    <t>11.02.2026</t>
  </si>
  <si>
    <t>16.02.2026</t>
  </si>
  <si>
    <t>19.02.2026</t>
  </si>
  <si>
    <t>22.02.2026</t>
  </si>
  <si>
    <t>26.02.2026</t>
  </si>
  <si>
    <t>01.03.2026</t>
  </si>
  <si>
    <t>27.02.2026</t>
  </si>
  <si>
    <t>B 906  BWY</t>
  </si>
  <si>
    <t>04.03.2026</t>
  </si>
  <si>
    <t>08.03.2026</t>
  </si>
  <si>
    <t>10.03.2026</t>
  </si>
  <si>
    <t>12.03.2026</t>
  </si>
  <si>
    <t>17.03.2026</t>
  </si>
  <si>
    <t>23.03.2026</t>
  </si>
  <si>
    <t>23/03/2026</t>
  </si>
  <si>
    <t>26/03/2026</t>
  </si>
  <si>
    <t>BALANCE DUE</t>
  </si>
  <si>
    <t>23.03.2027</t>
  </si>
  <si>
    <t>08.04.2026</t>
  </si>
  <si>
    <t>10.04.2026</t>
  </si>
  <si>
    <t>TOTAL</t>
  </si>
  <si>
    <t>Opening</t>
  </si>
  <si>
    <t>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</si>
</sst>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0" fillId="0" borderId="0" xfId="0" applyFill="1" applyBorder="1"/>
    <xf numFmtId="164" fontId="0" fillId="0" borderId="1" xfId="1" applyFont="1" applyBorder="1"/>
    <xf numFmtId="164" fontId="0" fillId="0" borderId="0" xfId="1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4" fontId="0" fillId="0" borderId="0" xfId="1" applyFont="1" applyFill="1"/>
    <xf numFmtId="0" fontId="0" fillId="0" borderId="0" xfId="0" applyFill="1"/>
    <xf numFmtId="0" fontId="0" fillId="0" borderId="3" xfId="0" applyFill="1" applyBorder="1"/>
    <xf numFmtId="0" fontId="3" fillId="0" borderId="0" xfId="0" applyFont="1" applyFill="1" applyAlignment="1">
      <alignment vertical="center"/>
    </xf>
    <xf numFmtId="0" fontId="4" fillId="0" borderId="1" xfId="0" applyFont="1" applyFill="1" applyBorder="1"/>
    <xf numFmtId="164" fontId="0" fillId="0" borderId="0" xfId="1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0" fontId="0" fillId="0" borderId="4" xfId="0" applyFill="1" applyBorder="1"/>
    <xf numFmtId="0" fontId="0" fillId="0" borderId="5" xfId="0" applyFill="1" applyBorder="1"/>
    <xf numFmtId="0" fontId="2" fillId="3" borderId="1" xfId="0" applyFont="1" applyFill="1" applyBorder="1"/>
    <xf numFmtId="164" fontId="2" fillId="3" borderId="1" xfId="1" applyFont="1" applyFill="1" applyBorder="1"/>
    <xf numFmtId="0" fontId="0" fillId="4" borderId="1" xfId="0" applyFill="1" applyBorder="1"/>
    <xf numFmtId="164" fontId="0" fillId="4" borderId="1" xfId="1" applyFont="1" applyFill="1" applyBorder="1"/>
    <xf numFmtId="0" fontId="0" fillId="0" borderId="0" xfId="0" applyFont="1"/>
    <xf numFmtId="0" fontId="2" fillId="4" borderId="1" xfId="0" applyFont="1" applyFill="1" applyBorder="1"/>
    <xf numFmtId="0" fontId="2" fillId="4" borderId="1" xfId="0" applyNumberFormat="1" applyFont="1" applyFill="1" applyBorder="1"/>
    <xf numFmtId="164" fontId="2" fillId="4" borderId="1" xfId="1" applyFont="1" applyFill="1" applyBorder="1"/>
    <xf numFmtId="164" fontId="1" fillId="4" borderId="1" xfId="1" applyFont="1" applyFill="1" applyBorder="1"/>
    <xf numFmtId="0" fontId="2" fillId="0" borderId="1" xfId="0" applyFont="1" applyBorder="1"/>
    <xf numFmtId="164" fontId="2" fillId="0" borderId="1" xfId="1" applyFont="1" applyBorder="1"/>
    <xf numFmtId="0" fontId="5" fillId="4" borderId="1" xfId="0" applyFont="1" applyFill="1" applyBorder="1"/>
    <xf numFmtId="0" fontId="5" fillId="0" borderId="1" xfId="0" applyFont="1" applyBorder="1"/>
    <xf numFmtId="0" fontId="0" fillId="0" borderId="1" xfId="0" applyFont="1" applyBorder="1"/>
    <xf numFmtId="164" fontId="1" fillId="0" borderId="1" xfId="1" applyFont="1" applyBorder="1"/>
    <xf numFmtId="0" fontId="0" fillId="4" borderId="1" xfId="0" applyFont="1" applyFill="1" applyBorder="1"/>
    <xf numFmtId="0" fontId="0" fillId="4" borderId="1" xfId="0" applyNumberFormat="1" applyFont="1" applyFill="1" applyBorder="1"/>
    <xf numFmtId="164" fontId="1" fillId="2" borderId="1" xfId="1" applyFont="1" applyFill="1" applyBorder="1"/>
    <xf numFmtId="164" fontId="0" fillId="2" borderId="1" xfId="1" applyFont="1" applyFill="1" applyBorder="1"/>
    <xf numFmtId="164" fontId="2" fillId="5" borderId="1" xfId="1" applyFont="1" applyFill="1" applyBorder="1"/>
    <xf numFmtId="0" fontId="4" fillId="0" borderId="1" xfId="0" applyFont="1" applyBorder="1"/>
    <xf numFmtId="164" fontId="4" fillId="0" borderId="1" xfId="1" applyFont="1" applyBorder="1"/>
    <xf numFmtId="0" fontId="4" fillId="0" borderId="0" xfId="0" applyFont="1"/>
    <xf numFmtId="164" fontId="0" fillId="0" borderId="3" xfId="1" applyFont="1" applyFill="1" applyBorder="1"/>
    <xf numFmtId="164" fontId="0" fillId="0" borderId="5" xfId="1" applyFont="1" applyFill="1" applyBorder="1"/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3</xdr:col>
      <xdr:colOff>333375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26765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3</xdr:col>
      <xdr:colOff>333375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75" y="47625"/>
          <a:ext cx="26765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3</xdr:col>
      <xdr:colOff>333375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26765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3</xdr:col>
      <xdr:colOff>333375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26765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3</xdr:col>
      <xdr:colOff>333375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26765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3</xdr:col>
      <xdr:colOff>333375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267652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3</xdr:col>
      <xdr:colOff>333375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267652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3</xdr:col>
      <xdr:colOff>333375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26765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47625</xdr:rowOff>
    </xdr:from>
    <xdr:to>
      <xdr:col>3</xdr:col>
      <xdr:colOff>333375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"/>
          <a:ext cx="2676525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workbookViewId="0">
      <selection activeCell="G25" sqref="G25"/>
    </sheetView>
  </sheetViews>
  <sheetFormatPr defaultRowHeight="14.4" x14ac:dyDescent="0.3"/>
  <cols>
    <col min="1" max="1" width="18.109375" style="6" bestFit="1" customWidth="1"/>
    <col min="2" max="2" width="13" customWidth="1"/>
    <col min="3" max="3" width="11.6640625" customWidth="1"/>
    <col min="4" max="4" width="10.44140625" customWidth="1"/>
    <col min="5" max="5" width="10.88671875" customWidth="1"/>
    <col min="6" max="6" width="10" style="4" customWidth="1"/>
    <col min="7" max="7" width="11.6640625" style="4" customWidth="1"/>
    <col min="8" max="8" width="10.5546875" style="4" customWidth="1"/>
    <col min="9" max="9" width="30.5546875" customWidth="1"/>
    <col min="10" max="10" width="11.5546875" customWidth="1"/>
  </cols>
  <sheetData>
    <row r="1" spans="1:11" x14ac:dyDescent="0.3">
      <c r="A1" s="7" t="s">
        <v>6</v>
      </c>
      <c r="E1" s="8"/>
      <c r="F1" s="8"/>
      <c r="G1" s="8"/>
      <c r="H1" s="9"/>
      <c r="I1" s="10"/>
    </row>
    <row r="2" spans="1:11" x14ac:dyDescent="0.3">
      <c r="A2"/>
      <c r="E2" s="11" t="s">
        <v>7</v>
      </c>
      <c r="F2" s="11"/>
      <c r="G2" s="8"/>
      <c r="H2" s="9"/>
      <c r="I2" s="10"/>
    </row>
    <row r="3" spans="1:11" x14ac:dyDescent="0.3">
      <c r="A3"/>
      <c r="E3" s="11" t="s">
        <v>8</v>
      </c>
      <c r="F3" s="11"/>
      <c r="G3" s="8"/>
      <c r="H3" s="9"/>
      <c r="I3" s="10"/>
    </row>
    <row r="4" spans="1:11" x14ac:dyDescent="0.3">
      <c r="A4"/>
      <c r="E4" s="11" t="s">
        <v>9</v>
      </c>
      <c r="F4" s="11"/>
      <c r="G4" s="8"/>
      <c r="H4" s="9"/>
      <c r="I4" s="10"/>
    </row>
    <row r="5" spans="1:11" x14ac:dyDescent="0.3">
      <c r="A5"/>
      <c r="E5" s="11" t="s">
        <v>10</v>
      </c>
      <c r="F5" s="9"/>
      <c r="G5" s="8"/>
      <c r="H5" s="9"/>
      <c r="I5" s="10"/>
    </row>
    <row r="6" spans="1:11" ht="15.6" x14ac:dyDescent="0.3">
      <c r="A6" s="12" t="s">
        <v>11</v>
      </c>
      <c r="B6" s="43" t="s">
        <v>18</v>
      </c>
      <c r="C6" s="43"/>
      <c r="D6" s="2"/>
      <c r="E6" s="13"/>
      <c r="F6" s="13"/>
      <c r="G6" s="13"/>
      <c r="H6" s="2"/>
      <c r="I6" s="10"/>
    </row>
    <row r="7" spans="1:11" x14ac:dyDescent="0.3">
      <c r="A7" s="14" t="s">
        <v>0</v>
      </c>
      <c r="B7" s="44" t="s">
        <v>12</v>
      </c>
      <c r="C7" s="44"/>
      <c r="D7" s="2"/>
      <c r="E7" s="13"/>
      <c r="F7" s="13"/>
      <c r="G7" s="13"/>
      <c r="H7" s="2"/>
      <c r="I7" s="10"/>
    </row>
    <row r="8" spans="1:11" x14ac:dyDescent="0.3">
      <c r="A8" s="15"/>
      <c r="B8" s="16"/>
      <c r="C8" s="2"/>
      <c r="D8" s="2"/>
      <c r="E8" s="13"/>
      <c r="F8" s="13"/>
      <c r="G8" s="13"/>
      <c r="H8" s="2"/>
      <c r="I8" s="17"/>
      <c r="J8" s="9"/>
      <c r="K8" s="9"/>
    </row>
    <row r="9" spans="1:11" x14ac:dyDescent="0.3">
      <c r="A9" s="18" t="s">
        <v>13</v>
      </c>
      <c r="B9" s="18" t="s">
        <v>14</v>
      </c>
      <c r="C9" s="18" t="s">
        <v>15</v>
      </c>
      <c r="D9" s="18" t="s">
        <v>1</v>
      </c>
      <c r="E9" s="19" t="s">
        <v>2</v>
      </c>
      <c r="F9" s="19" t="s">
        <v>16</v>
      </c>
      <c r="G9" s="19" t="s">
        <v>3</v>
      </c>
      <c r="H9" s="18" t="s">
        <v>17</v>
      </c>
      <c r="I9" s="18" t="s">
        <v>4</v>
      </c>
    </row>
    <row r="10" spans="1:11" x14ac:dyDescent="0.3">
      <c r="A10" s="45" t="s">
        <v>5</v>
      </c>
      <c r="B10" s="46"/>
      <c r="C10" s="1"/>
      <c r="D10" s="1"/>
      <c r="E10" s="3"/>
      <c r="F10" s="3"/>
      <c r="G10" s="3">
        <f>0</f>
        <v>0</v>
      </c>
      <c r="H10" s="1"/>
      <c r="I10" s="1"/>
    </row>
    <row r="11" spans="1:11" s="5" customFormat="1" x14ac:dyDescent="0.3">
      <c r="A11" s="23"/>
      <c r="B11" s="23"/>
      <c r="C11" s="23"/>
      <c r="D11" s="24"/>
      <c r="E11" s="25"/>
      <c r="F11" s="25"/>
      <c r="G11" s="25"/>
      <c r="H11" s="23"/>
      <c r="I11" s="23"/>
    </row>
    <row r="12" spans="1:11" x14ac:dyDescent="0.3">
      <c r="A12" s="20"/>
      <c r="B12" s="20"/>
      <c r="C12" s="20"/>
      <c r="D12" s="20"/>
      <c r="E12" s="21"/>
      <c r="F12" s="21"/>
      <c r="G12" s="21"/>
      <c r="H12" s="20"/>
      <c r="I12" s="20"/>
    </row>
    <row r="13" spans="1:11" x14ac:dyDescent="0.3">
      <c r="A13" s="1"/>
      <c r="B13" s="1"/>
      <c r="C13" s="1"/>
      <c r="D13" s="1"/>
      <c r="E13" s="21"/>
      <c r="F13" s="3"/>
      <c r="G13" s="21"/>
      <c r="H13" s="1"/>
      <c r="I13" s="1"/>
    </row>
    <row r="14" spans="1:11" x14ac:dyDescent="0.3">
      <c r="A14" s="1"/>
      <c r="B14" s="1"/>
      <c r="C14" s="1"/>
      <c r="D14" s="1"/>
      <c r="E14" s="21"/>
      <c r="F14" s="3"/>
      <c r="G14" s="21"/>
      <c r="H14" s="20"/>
      <c r="I14" s="1"/>
    </row>
    <row r="15" spans="1:11" x14ac:dyDescent="0.3">
      <c r="A15" s="1"/>
      <c r="B15" s="1"/>
      <c r="C15" s="1"/>
      <c r="D15" s="1"/>
      <c r="E15" s="21"/>
      <c r="F15" s="3"/>
      <c r="G15" s="21"/>
      <c r="H15" s="20"/>
      <c r="I15" s="1"/>
    </row>
    <row r="16" spans="1:11" x14ac:dyDescent="0.3">
      <c r="A16" s="1"/>
      <c r="B16" s="1"/>
      <c r="C16" s="1"/>
      <c r="D16" s="1"/>
      <c r="E16" s="21"/>
      <c r="F16" s="3"/>
      <c r="G16" s="21"/>
      <c r="H16" s="20"/>
      <c r="I16" s="1"/>
    </row>
    <row r="17" spans="1:9" x14ac:dyDescent="0.3">
      <c r="A17" s="1"/>
      <c r="B17" s="1"/>
      <c r="C17" s="1"/>
      <c r="D17" s="1"/>
      <c r="E17" s="3"/>
      <c r="F17" s="3"/>
      <c r="G17" s="21"/>
      <c r="H17" s="1"/>
      <c r="I17" s="1"/>
    </row>
    <row r="18" spans="1:9" x14ac:dyDescent="0.3">
      <c r="A18" s="1"/>
      <c r="B18" s="1"/>
      <c r="C18" s="1"/>
      <c r="D18" s="1"/>
      <c r="E18" s="3"/>
      <c r="F18" s="3"/>
      <c r="G18" s="21"/>
      <c r="H18" s="1"/>
      <c r="I18" s="1"/>
    </row>
    <row r="19" spans="1:9" x14ac:dyDescent="0.3">
      <c r="A19" s="1"/>
      <c r="B19" s="1"/>
      <c r="C19" s="1"/>
      <c r="D19" s="1"/>
      <c r="E19" s="3"/>
      <c r="F19" s="3"/>
      <c r="G19" s="3"/>
      <c r="H19" s="1"/>
      <c r="I19" s="1"/>
    </row>
    <row r="20" spans="1:9" x14ac:dyDescent="0.3">
      <c r="A20" s="1"/>
      <c r="B20" s="1"/>
      <c r="C20" s="1"/>
      <c r="D20" s="1"/>
      <c r="E20" s="3"/>
      <c r="F20" s="3"/>
      <c r="G20" s="3"/>
      <c r="H20" s="1"/>
      <c r="I20" s="1"/>
    </row>
    <row r="21" spans="1:9" x14ac:dyDescent="0.3">
      <c r="A21" s="1"/>
      <c r="B21" s="1"/>
      <c r="C21" s="1"/>
      <c r="D21" s="1"/>
      <c r="E21" s="3"/>
      <c r="F21" s="3"/>
      <c r="G21" s="3"/>
      <c r="H21" s="1"/>
      <c r="I21" s="1"/>
    </row>
    <row r="22" spans="1:9" x14ac:dyDescent="0.3">
      <c r="A22" s="1"/>
      <c r="B22" s="1"/>
      <c r="C22" s="1"/>
      <c r="D22" s="1"/>
      <c r="E22" s="3"/>
      <c r="F22" s="3"/>
      <c r="G22" s="3"/>
      <c r="H22" s="1"/>
      <c r="I22" s="1"/>
    </row>
    <row r="23" spans="1:9" x14ac:dyDescent="0.3">
      <c r="A23"/>
      <c r="E23" s="4"/>
      <c r="H23"/>
    </row>
    <row r="24" spans="1:9" x14ac:dyDescent="0.3">
      <c r="A24"/>
      <c r="E24" s="4"/>
      <c r="H24"/>
    </row>
    <row r="25" spans="1:9" x14ac:dyDescent="0.3">
      <c r="A25"/>
      <c r="E25" s="4"/>
      <c r="H25" s="22"/>
    </row>
    <row r="26" spans="1:9" x14ac:dyDescent="0.3">
      <c r="A26"/>
      <c r="E26" s="4"/>
      <c r="H26"/>
    </row>
    <row r="27" spans="1:9" x14ac:dyDescent="0.3">
      <c r="A27"/>
      <c r="E27" s="4"/>
      <c r="H27"/>
    </row>
    <row r="28" spans="1:9" x14ac:dyDescent="0.3">
      <c r="A28"/>
      <c r="E28" s="4"/>
      <c r="H28"/>
    </row>
    <row r="29" spans="1:9" x14ac:dyDescent="0.3">
      <c r="A29"/>
      <c r="E29" s="4"/>
      <c r="H29"/>
    </row>
    <row r="30" spans="1:9" x14ac:dyDescent="0.3">
      <c r="A30"/>
      <c r="E30" s="4"/>
      <c r="H30"/>
    </row>
    <row r="31" spans="1:9" x14ac:dyDescent="0.3">
      <c r="A31"/>
      <c r="E31" s="4"/>
      <c r="H31"/>
    </row>
    <row r="32" spans="1:9" x14ac:dyDescent="0.3">
      <c r="A32"/>
      <c r="E32" s="4"/>
      <c r="H32"/>
    </row>
    <row r="33" spans="1:8" x14ac:dyDescent="0.3">
      <c r="A33"/>
      <c r="E33" s="4"/>
      <c r="H33"/>
    </row>
    <row r="34" spans="1:8" x14ac:dyDescent="0.3">
      <c r="A34"/>
      <c r="E34" s="4"/>
      <c r="H34"/>
    </row>
    <row r="35" spans="1:8" x14ac:dyDescent="0.3">
      <c r="A35"/>
      <c r="E35" s="4"/>
      <c r="H35"/>
    </row>
  </sheetData>
  <mergeCells count="3">
    <mergeCell ref="B6:C6"/>
    <mergeCell ref="B7:C7"/>
    <mergeCell ref="A10:B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workbookViewId="0">
      <selection activeCell="D28" sqref="D28"/>
    </sheetView>
  </sheetViews>
  <sheetFormatPr defaultRowHeight="14.4" x14ac:dyDescent="0.3"/>
  <cols>
    <col min="1" max="1" width="13" customWidth="1"/>
    <col min="2" max="2" width="11.6640625" customWidth="1"/>
    <col min="3" max="3" width="10.44140625" customWidth="1"/>
    <col min="4" max="4" width="10.88671875" customWidth="1"/>
    <col min="5" max="5" width="11.44140625" style="4" customWidth="1"/>
    <col min="6" max="6" width="12.33203125" style="4" customWidth="1"/>
    <col min="7" max="7" width="11.88671875" style="4" customWidth="1"/>
    <col min="8" max="8" width="29.6640625" customWidth="1"/>
    <col min="9" max="9" width="11.5546875" customWidth="1"/>
  </cols>
  <sheetData>
    <row r="1" spans="1:16" x14ac:dyDescent="0.3">
      <c r="A1" s="7" t="s">
        <v>6</v>
      </c>
      <c r="E1" s="8"/>
      <c r="F1" s="8"/>
      <c r="G1" s="8"/>
      <c r="H1" s="9"/>
      <c r="I1" s="10"/>
    </row>
    <row r="2" spans="1:16" x14ac:dyDescent="0.3">
      <c r="E2" s="11" t="s">
        <v>7</v>
      </c>
      <c r="F2" s="11"/>
      <c r="G2" s="8"/>
      <c r="H2" s="9"/>
      <c r="I2" s="10"/>
    </row>
    <row r="3" spans="1:16" x14ac:dyDescent="0.3">
      <c r="E3" s="11" t="s">
        <v>8</v>
      </c>
      <c r="F3" s="11"/>
      <c r="G3" s="8"/>
      <c r="H3" s="9"/>
      <c r="I3" s="10"/>
    </row>
    <row r="4" spans="1:16" x14ac:dyDescent="0.3">
      <c r="E4" s="11" t="s">
        <v>9</v>
      </c>
      <c r="F4" s="11"/>
      <c r="G4" s="8"/>
      <c r="H4" s="9"/>
      <c r="I4" s="10"/>
    </row>
    <row r="5" spans="1:16" x14ac:dyDescent="0.3">
      <c r="E5" s="11" t="s">
        <v>10</v>
      </c>
      <c r="F5" s="9"/>
      <c r="G5" s="8"/>
      <c r="H5" s="9"/>
      <c r="I5" s="10"/>
    </row>
    <row r="6" spans="1:16" ht="15.6" x14ac:dyDescent="0.3">
      <c r="A6" s="12" t="s">
        <v>11</v>
      </c>
      <c r="B6" s="43" t="s">
        <v>18</v>
      </c>
      <c r="C6" s="43"/>
      <c r="D6" s="2"/>
      <c r="E6" s="13"/>
      <c r="F6" s="13"/>
      <c r="G6" s="13"/>
      <c r="H6" s="2"/>
      <c r="I6" s="10"/>
    </row>
    <row r="7" spans="1:16" x14ac:dyDescent="0.3">
      <c r="A7" s="14" t="s">
        <v>0</v>
      </c>
      <c r="B7" s="44" t="s">
        <v>12</v>
      </c>
      <c r="C7" s="44"/>
      <c r="D7" s="2"/>
      <c r="E7" s="13"/>
      <c r="F7" s="13"/>
      <c r="G7" s="13"/>
      <c r="H7" s="2"/>
      <c r="I7" s="10"/>
    </row>
    <row r="8" spans="1:16" x14ac:dyDescent="0.3">
      <c r="A8" s="15"/>
      <c r="B8" s="16"/>
      <c r="C8" s="2"/>
      <c r="D8" s="2"/>
      <c r="E8" s="13"/>
      <c r="F8" s="13"/>
      <c r="G8" s="13"/>
      <c r="H8" s="2"/>
      <c r="I8" s="17"/>
      <c r="J8" s="9"/>
      <c r="K8" s="9"/>
    </row>
    <row r="9" spans="1:16" x14ac:dyDescent="0.3">
      <c r="A9" s="18" t="s">
        <v>13</v>
      </c>
      <c r="B9" s="18" t="s">
        <v>14</v>
      </c>
      <c r="C9" s="18" t="s">
        <v>15</v>
      </c>
      <c r="D9" s="18" t="s">
        <v>1</v>
      </c>
      <c r="E9" s="19" t="s">
        <v>2</v>
      </c>
      <c r="F9" s="19" t="s">
        <v>16</v>
      </c>
      <c r="G9" s="19" t="s">
        <v>3</v>
      </c>
      <c r="H9" s="18" t="s">
        <v>17</v>
      </c>
      <c r="I9" s="18" t="s">
        <v>4</v>
      </c>
    </row>
    <row r="10" spans="1:16" x14ac:dyDescent="0.3">
      <c r="A10" s="45" t="s">
        <v>5</v>
      </c>
      <c r="B10" s="46"/>
      <c r="C10" s="1"/>
      <c r="D10" s="1"/>
      <c r="E10" s="3"/>
      <c r="F10" s="3"/>
      <c r="G10" s="3">
        <f>0</f>
        <v>0</v>
      </c>
      <c r="H10" s="1"/>
      <c r="I10" s="1"/>
    </row>
    <row r="11" spans="1:16" x14ac:dyDescent="0.3">
      <c r="A11" s="23" t="s">
        <v>19</v>
      </c>
      <c r="B11" s="23">
        <v>1346</v>
      </c>
      <c r="C11" s="23" t="s">
        <v>25</v>
      </c>
      <c r="D11" s="24"/>
      <c r="E11" s="25"/>
      <c r="F11" s="25">
        <v>40000</v>
      </c>
      <c r="G11" s="25">
        <f>G10+E11-F11</f>
        <v>-40000</v>
      </c>
      <c r="H11" s="23" t="s">
        <v>20</v>
      </c>
      <c r="I11" s="23"/>
      <c r="J11" s="5"/>
      <c r="K11" s="5"/>
      <c r="L11" s="5"/>
      <c r="M11" s="5"/>
      <c r="N11" s="5"/>
      <c r="O11" s="5"/>
      <c r="P11" s="5"/>
    </row>
    <row r="12" spans="1:16" x14ac:dyDescent="0.3">
      <c r="A12" s="20" t="s">
        <v>19</v>
      </c>
      <c r="B12" s="20">
        <v>1342</v>
      </c>
      <c r="C12" s="20"/>
      <c r="D12" s="29">
        <f>704.22+111.78</f>
        <v>816</v>
      </c>
      <c r="E12" s="21">
        <v>11587.26</v>
      </c>
      <c r="F12" s="21"/>
      <c r="G12" s="26">
        <f>G11+E12-F12</f>
        <v>-28412.739999999998</v>
      </c>
      <c r="H12" s="20" t="s">
        <v>22</v>
      </c>
      <c r="I12" s="20">
        <v>0</v>
      </c>
    </row>
    <row r="13" spans="1:16" x14ac:dyDescent="0.3">
      <c r="A13" s="1" t="s">
        <v>19</v>
      </c>
      <c r="B13" s="1">
        <v>1347</v>
      </c>
      <c r="C13" s="1"/>
      <c r="D13" s="30">
        <f>500+500+500+500</f>
        <v>2000</v>
      </c>
      <c r="E13" s="21">
        <v>28400</v>
      </c>
      <c r="F13" s="3"/>
      <c r="G13" s="26">
        <f>G12+E13-F13</f>
        <v>-12.739999999997963</v>
      </c>
      <c r="H13" s="1" t="s">
        <v>21</v>
      </c>
      <c r="I13" s="1">
        <v>0</v>
      </c>
    </row>
    <row r="14" spans="1:16" s="5" customFormat="1" x14ac:dyDescent="0.3">
      <c r="A14" s="27" t="s">
        <v>23</v>
      </c>
      <c r="B14" s="27">
        <v>1418</v>
      </c>
      <c r="C14" s="27" t="s">
        <v>25</v>
      </c>
      <c r="D14" s="27"/>
      <c r="E14" s="25"/>
      <c r="F14" s="28">
        <v>28400</v>
      </c>
      <c r="G14" s="25">
        <f>G13+E14-F14</f>
        <v>-28412.739999999998</v>
      </c>
      <c r="H14" s="23" t="s">
        <v>20</v>
      </c>
      <c r="I14" s="27"/>
    </row>
    <row r="15" spans="1:16" x14ac:dyDescent="0.3">
      <c r="A15" s="1" t="s">
        <v>23</v>
      </c>
      <c r="B15" s="1">
        <v>1422</v>
      </c>
      <c r="C15" s="1"/>
      <c r="D15" s="30">
        <v>2000</v>
      </c>
      <c r="E15" s="21">
        <v>28400</v>
      </c>
      <c r="F15" s="3"/>
      <c r="G15" s="26">
        <f>G14+E15-F15</f>
        <v>-12.739999999997963</v>
      </c>
      <c r="H15" s="20" t="s">
        <v>21</v>
      </c>
      <c r="I15" s="1">
        <v>0</v>
      </c>
    </row>
    <row r="16" spans="1:16" s="5" customFormat="1" x14ac:dyDescent="0.3">
      <c r="A16" s="27" t="s">
        <v>24</v>
      </c>
      <c r="B16" s="27">
        <v>1483</v>
      </c>
      <c r="C16" s="27" t="s">
        <v>25</v>
      </c>
      <c r="D16" s="27"/>
      <c r="E16" s="25"/>
      <c r="F16" s="28">
        <v>28400</v>
      </c>
      <c r="G16" s="25">
        <f t="shared" ref="G16:G20" si="0">G15+E16-F16</f>
        <v>-28412.739999999998</v>
      </c>
      <c r="H16" s="23" t="s">
        <v>20</v>
      </c>
      <c r="I16" s="27"/>
    </row>
    <row r="17" spans="1:9" x14ac:dyDescent="0.3">
      <c r="A17" s="1" t="s">
        <v>24</v>
      </c>
      <c r="B17" s="1">
        <v>1486</v>
      </c>
      <c r="C17" s="1"/>
      <c r="D17" s="1">
        <v>2000</v>
      </c>
      <c r="E17" s="3">
        <v>28400</v>
      </c>
      <c r="F17" s="3"/>
      <c r="G17" s="26">
        <f t="shared" si="0"/>
        <v>-12.739999999997963</v>
      </c>
      <c r="H17" s="1" t="s">
        <v>26</v>
      </c>
      <c r="I17" s="1">
        <v>0</v>
      </c>
    </row>
    <row r="18" spans="1:9" s="5" customFormat="1" x14ac:dyDescent="0.3">
      <c r="A18" s="27" t="s">
        <v>27</v>
      </c>
      <c r="B18" s="27">
        <v>1620</v>
      </c>
      <c r="C18" s="27" t="s">
        <v>25</v>
      </c>
      <c r="D18" s="27"/>
      <c r="E18" s="28"/>
      <c r="F18" s="28">
        <v>42600</v>
      </c>
      <c r="G18" s="25">
        <f t="shared" si="0"/>
        <v>-42612.74</v>
      </c>
      <c r="H18" s="27" t="s">
        <v>20</v>
      </c>
      <c r="I18" s="27"/>
    </row>
    <row r="19" spans="1:9" x14ac:dyDescent="0.3">
      <c r="A19" s="1" t="s">
        <v>27</v>
      </c>
      <c r="B19" s="1">
        <v>1616</v>
      </c>
      <c r="C19" s="1"/>
      <c r="D19" s="1">
        <f>500+500</f>
        <v>1000</v>
      </c>
      <c r="E19" s="3">
        <v>14200</v>
      </c>
      <c r="F19" s="3"/>
      <c r="G19" s="26">
        <f t="shared" si="0"/>
        <v>-28412.739999999998</v>
      </c>
      <c r="H19" s="1" t="s">
        <v>26</v>
      </c>
      <c r="I19" s="1">
        <v>0</v>
      </c>
    </row>
    <row r="20" spans="1:9" x14ac:dyDescent="0.3">
      <c r="A20" s="1" t="s">
        <v>27</v>
      </c>
      <c r="B20" s="1">
        <v>1617</v>
      </c>
      <c r="C20" s="1"/>
      <c r="D20" s="1">
        <f>500+500+500+500</f>
        <v>2000</v>
      </c>
      <c r="E20" s="3">
        <v>28400</v>
      </c>
      <c r="F20" s="3"/>
      <c r="G20" s="26">
        <f t="shared" si="0"/>
        <v>-12.739999999997963</v>
      </c>
      <c r="H20" s="1" t="s">
        <v>21</v>
      </c>
      <c r="I20" s="1">
        <v>0</v>
      </c>
    </row>
    <row r="21" spans="1:9" x14ac:dyDescent="0.3">
      <c r="A21" s="1"/>
      <c r="B21" s="1"/>
      <c r="C21" s="1"/>
      <c r="D21" s="1"/>
      <c r="E21" s="3"/>
      <c r="F21" s="3"/>
      <c r="G21" s="3"/>
      <c r="H21" s="1"/>
      <c r="I21" s="1"/>
    </row>
    <row r="22" spans="1:9" x14ac:dyDescent="0.3">
      <c r="A22" s="1"/>
      <c r="B22" s="1"/>
      <c r="C22" s="1"/>
      <c r="D22" s="1"/>
      <c r="E22" s="3"/>
      <c r="F22" s="3"/>
      <c r="G22" s="3"/>
      <c r="H22" s="1"/>
      <c r="I22" s="1"/>
    </row>
    <row r="25" spans="1:9" x14ac:dyDescent="0.3">
      <c r="H25" s="22"/>
    </row>
  </sheetData>
  <mergeCells count="3">
    <mergeCell ref="B6:C6"/>
    <mergeCell ref="B7:C7"/>
    <mergeCell ref="A10:B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workbookViewId="0">
      <selection activeCell="D15" sqref="D15"/>
    </sheetView>
  </sheetViews>
  <sheetFormatPr defaultRowHeight="14.4" x14ac:dyDescent="0.3"/>
  <cols>
    <col min="1" max="1" width="13" customWidth="1"/>
    <col min="2" max="2" width="11.6640625" customWidth="1"/>
    <col min="3" max="3" width="10.44140625" customWidth="1"/>
    <col min="4" max="4" width="10.88671875" customWidth="1"/>
    <col min="5" max="5" width="11.44140625" style="4" customWidth="1"/>
    <col min="6" max="6" width="12.33203125" style="4" customWidth="1"/>
    <col min="7" max="7" width="11.88671875" style="4" customWidth="1"/>
    <col min="8" max="8" width="29.6640625" customWidth="1"/>
    <col min="9" max="9" width="11.5546875" customWidth="1"/>
  </cols>
  <sheetData>
    <row r="1" spans="1:19" x14ac:dyDescent="0.3">
      <c r="A1" s="7" t="s">
        <v>6</v>
      </c>
      <c r="E1" s="8"/>
      <c r="F1" s="8"/>
      <c r="G1" s="8"/>
      <c r="H1" s="9"/>
      <c r="I1" s="10"/>
    </row>
    <row r="2" spans="1:19" x14ac:dyDescent="0.3">
      <c r="E2" s="11" t="s">
        <v>7</v>
      </c>
      <c r="F2" s="11"/>
      <c r="G2" s="8"/>
      <c r="H2" s="9"/>
      <c r="I2" s="10"/>
    </row>
    <row r="3" spans="1:19" x14ac:dyDescent="0.3">
      <c r="E3" s="11" t="s">
        <v>8</v>
      </c>
      <c r="F3" s="11"/>
      <c r="G3" s="8"/>
      <c r="H3" s="9"/>
      <c r="I3" s="10"/>
    </row>
    <row r="4" spans="1:19" x14ac:dyDescent="0.3">
      <c r="E4" s="11" t="s">
        <v>9</v>
      </c>
      <c r="F4" s="11"/>
      <c r="G4" s="8"/>
      <c r="H4" s="9"/>
      <c r="I4" s="10"/>
    </row>
    <row r="5" spans="1:19" x14ac:dyDescent="0.3">
      <c r="E5" s="11" t="s">
        <v>10</v>
      </c>
      <c r="F5" s="9"/>
      <c r="G5" s="8"/>
      <c r="H5" s="9"/>
      <c r="I5" s="10"/>
    </row>
    <row r="6" spans="1:19" ht="15.6" x14ac:dyDescent="0.3">
      <c r="A6" s="12" t="s">
        <v>11</v>
      </c>
      <c r="B6" s="43" t="s">
        <v>18</v>
      </c>
      <c r="C6" s="43"/>
      <c r="D6" s="2"/>
      <c r="E6" s="13"/>
      <c r="F6" s="13"/>
      <c r="G6" s="13"/>
      <c r="H6" s="2"/>
      <c r="I6" s="10"/>
    </row>
    <row r="7" spans="1:19" x14ac:dyDescent="0.3">
      <c r="A7" s="14" t="s">
        <v>0</v>
      </c>
      <c r="B7" s="44" t="s">
        <v>12</v>
      </c>
      <c r="C7" s="44"/>
      <c r="D7" s="2"/>
      <c r="E7" s="13"/>
      <c r="F7" s="13"/>
      <c r="G7" s="13"/>
      <c r="H7" s="2"/>
      <c r="I7" s="10"/>
    </row>
    <row r="8" spans="1:19" x14ac:dyDescent="0.3">
      <c r="A8" s="15"/>
      <c r="B8" s="16"/>
      <c r="C8" s="2"/>
      <c r="D8" s="2"/>
      <c r="E8" s="13"/>
      <c r="F8" s="13"/>
      <c r="G8" s="13"/>
      <c r="H8" s="2"/>
      <c r="I8" s="17"/>
      <c r="J8" s="9"/>
      <c r="K8" s="9"/>
    </row>
    <row r="9" spans="1:19" x14ac:dyDescent="0.3">
      <c r="A9" s="18" t="s">
        <v>13</v>
      </c>
      <c r="B9" s="18" t="s">
        <v>14</v>
      </c>
      <c r="C9" s="18" t="s">
        <v>15</v>
      </c>
      <c r="D9" s="18" t="s">
        <v>1</v>
      </c>
      <c r="E9" s="19" t="s">
        <v>2</v>
      </c>
      <c r="F9" s="19" t="s">
        <v>16</v>
      </c>
      <c r="G9" s="19" t="s">
        <v>3</v>
      </c>
      <c r="H9" s="18" t="s">
        <v>17</v>
      </c>
      <c r="I9" s="18" t="s">
        <v>4</v>
      </c>
    </row>
    <row r="10" spans="1:19" x14ac:dyDescent="0.3">
      <c r="A10" s="45" t="s">
        <v>5</v>
      </c>
      <c r="B10" s="46"/>
      <c r="C10" s="1"/>
      <c r="D10" s="1"/>
      <c r="E10" s="3"/>
      <c r="F10" s="3"/>
      <c r="G10" s="3">
        <f>0</f>
        <v>0</v>
      </c>
      <c r="H10" s="1"/>
      <c r="I10" s="1"/>
    </row>
    <row r="11" spans="1:19" x14ac:dyDescent="0.3">
      <c r="A11" s="23" t="s">
        <v>28</v>
      </c>
      <c r="B11" s="23">
        <v>1676</v>
      </c>
      <c r="C11" s="23" t="s">
        <v>25</v>
      </c>
      <c r="D11" s="24"/>
      <c r="E11" s="25"/>
      <c r="F11" s="25">
        <v>14200</v>
      </c>
      <c r="G11" s="25">
        <f>G10+E11-F11</f>
        <v>-14200</v>
      </c>
      <c r="H11" s="23" t="s">
        <v>20</v>
      </c>
      <c r="I11" s="23"/>
      <c r="J11" s="5"/>
      <c r="K11" s="5"/>
      <c r="L11" s="5"/>
      <c r="M11" s="5"/>
      <c r="N11" s="5"/>
      <c r="O11" s="5"/>
      <c r="P11" s="5"/>
    </row>
    <row r="12" spans="1:19" x14ac:dyDescent="0.3">
      <c r="A12" s="20" t="s">
        <v>28</v>
      </c>
      <c r="B12" s="20">
        <v>1682</v>
      </c>
      <c r="C12" s="20"/>
      <c r="D12" s="29">
        <v>1000</v>
      </c>
      <c r="E12" s="21">
        <v>14200</v>
      </c>
      <c r="F12" s="21"/>
      <c r="G12" s="26">
        <f>G11+E12-F12</f>
        <v>0</v>
      </c>
      <c r="H12" s="20" t="s">
        <v>29</v>
      </c>
      <c r="I12" s="20">
        <v>0</v>
      </c>
    </row>
    <row r="13" spans="1:19" x14ac:dyDescent="0.3">
      <c r="A13" s="1" t="s">
        <v>28</v>
      </c>
      <c r="B13" s="1">
        <v>1688</v>
      </c>
      <c r="C13" s="1"/>
      <c r="D13" s="30">
        <v>2000</v>
      </c>
      <c r="E13" s="21">
        <v>28400</v>
      </c>
      <c r="F13" s="3"/>
      <c r="G13" s="26">
        <f>G12+E13-F13</f>
        <v>28400</v>
      </c>
      <c r="H13" s="1" t="s">
        <v>21</v>
      </c>
      <c r="I13" s="1">
        <v>0</v>
      </c>
    </row>
    <row r="14" spans="1:19" x14ac:dyDescent="0.3">
      <c r="A14" s="27" t="s">
        <v>28</v>
      </c>
      <c r="B14" s="27">
        <v>1695</v>
      </c>
      <c r="C14" s="27" t="s">
        <v>25</v>
      </c>
      <c r="D14" s="27"/>
      <c r="E14" s="25"/>
      <c r="F14" s="28">
        <v>28400</v>
      </c>
      <c r="G14" s="25">
        <f>G13+E14-F14</f>
        <v>0</v>
      </c>
      <c r="H14" s="23" t="s">
        <v>20</v>
      </c>
      <c r="I14" s="27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3">
      <c r="A15" s="1" t="s">
        <v>30</v>
      </c>
      <c r="B15" s="1">
        <v>2122</v>
      </c>
      <c r="C15" s="1"/>
      <c r="D15" s="30">
        <v>1000</v>
      </c>
      <c r="E15" s="21">
        <v>14200</v>
      </c>
      <c r="F15" s="3"/>
      <c r="G15" s="26">
        <f>G14+E15-F15</f>
        <v>14200</v>
      </c>
      <c r="H15" s="20" t="s">
        <v>29</v>
      </c>
      <c r="I15" s="1">
        <v>0</v>
      </c>
    </row>
    <row r="16" spans="1:19" x14ac:dyDescent="0.3">
      <c r="A16" s="27" t="s">
        <v>30</v>
      </c>
      <c r="B16" s="27">
        <v>2130</v>
      </c>
      <c r="C16" s="27" t="s">
        <v>25</v>
      </c>
      <c r="D16" s="27"/>
      <c r="E16" s="25"/>
      <c r="F16" s="28">
        <v>14200</v>
      </c>
      <c r="G16" s="25">
        <f t="shared" ref="G16:G20" si="0">G15+E16-F16</f>
        <v>0</v>
      </c>
      <c r="H16" s="23" t="s">
        <v>20</v>
      </c>
      <c r="I16" s="27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3">
      <c r="A17" s="1"/>
      <c r="B17" s="1"/>
      <c r="C17" s="1"/>
      <c r="D17" s="1"/>
      <c r="E17" s="3"/>
      <c r="F17" s="3"/>
      <c r="G17" s="26">
        <f t="shared" si="0"/>
        <v>0</v>
      </c>
      <c r="H17" s="1"/>
      <c r="I17" s="1">
        <v>0</v>
      </c>
    </row>
    <row r="18" spans="1:19" x14ac:dyDescent="0.3">
      <c r="A18" s="27"/>
      <c r="B18" s="27"/>
      <c r="C18" s="27"/>
      <c r="D18" s="27"/>
      <c r="E18" s="28"/>
      <c r="F18" s="28"/>
      <c r="G18" s="25">
        <f t="shared" si="0"/>
        <v>0</v>
      </c>
      <c r="H18" s="27"/>
      <c r="I18" s="27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3">
      <c r="A19" s="1"/>
      <c r="B19" s="1"/>
      <c r="C19" s="1"/>
      <c r="D19" s="1"/>
      <c r="E19" s="3"/>
      <c r="F19" s="3"/>
      <c r="G19" s="26">
        <f t="shared" si="0"/>
        <v>0</v>
      </c>
      <c r="H19" s="1"/>
      <c r="I19" s="1">
        <v>0</v>
      </c>
    </row>
    <row r="20" spans="1:19" x14ac:dyDescent="0.3">
      <c r="A20" s="1"/>
      <c r="B20" s="1"/>
      <c r="C20" s="1"/>
      <c r="D20" s="1"/>
      <c r="E20" s="3"/>
      <c r="F20" s="3"/>
      <c r="G20" s="26">
        <f t="shared" si="0"/>
        <v>0</v>
      </c>
      <c r="H20" s="1"/>
      <c r="I20" s="1">
        <v>0</v>
      </c>
    </row>
    <row r="21" spans="1:19" x14ac:dyDescent="0.3">
      <c r="A21" s="1"/>
      <c r="B21" s="1"/>
      <c r="C21" s="1"/>
      <c r="D21" s="1"/>
      <c r="E21" s="3"/>
      <c r="F21" s="3"/>
      <c r="G21" s="3"/>
      <c r="H21" s="1"/>
      <c r="I21" s="1"/>
    </row>
    <row r="22" spans="1:19" x14ac:dyDescent="0.3">
      <c r="A22" s="1"/>
      <c r="B22" s="1"/>
      <c r="C22" s="1"/>
      <c r="D22" s="1"/>
      <c r="E22" s="3"/>
      <c r="F22" s="3"/>
      <c r="G22" s="3"/>
      <c r="H22" s="1"/>
      <c r="I22" s="1"/>
    </row>
    <row r="25" spans="1:19" x14ac:dyDescent="0.3">
      <c r="H25" s="22"/>
    </row>
  </sheetData>
  <mergeCells count="3">
    <mergeCell ref="B6:C6"/>
    <mergeCell ref="B7:C7"/>
    <mergeCell ref="A10:B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"/>
  <sheetViews>
    <sheetView workbookViewId="0">
      <selection activeCell="E25" sqref="E25"/>
    </sheetView>
  </sheetViews>
  <sheetFormatPr defaultRowHeight="14.4" x14ac:dyDescent="0.3"/>
  <cols>
    <col min="1" max="1" width="13" customWidth="1"/>
    <col min="2" max="2" width="11.6640625" customWidth="1"/>
    <col min="3" max="3" width="10.44140625" customWidth="1"/>
    <col min="4" max="4" width="10.88671875" customWidth="1"/>
    <col min="5" max="5" width="11.44140625" style="4" customWidth="1"/>
    <col min="6" max="6" width="12.33203125" style="4" customWidth="1"/>
    <col min="7" max="7" width="11.88671875" style="4" customWidth="1"/>
    <col min="8" max="8" width="29.6640625" customWidth="1"/>
    <col min="9" max="9" width="11.5546875" customWidth="1"/>
  </cols>
  <sheetData>
    <row r="1" spans="1:17" x14ac:dyDescent="0.3">
      <c r="A1" s="7" t="s">
        <v>6</v>
      </c>
      <c r="E1" s="8"/>
      <c r="F1" s="8"/>
      <c r="G1" s="8"/>
      <c r="H1" s="9"/>
      <c r="I1" s="10"/>
    </row>
    <row r="2" spans="1:17" x14ac:dyDescent="0.3">
      <c r="E2" s="11" t="s">
        <v>7</v>
      </c>
      <c r="F2" s="11"/>
      <c r="G2" s="8"/>
      <c r="H2" s="9"/>
      <c r="I2" s="10"/>
    </row>
    <row r="3" spans="1:17" x14ac:dyDescent="0.3">
      <c r="E3" s="11" t="s">
        <v>8</v>
      </c>
      <c r="F3" s="11"/>
      <c r="G3" s="8"/>
      <c r="H3" s="9"/>
      <c r="I3" s="10"/>
    </row>
    <row r="4" spans="1:17" x14ac:dyDescent="0.3">
      <c r="E4" s="11" t="s">
        <v>9</v>
      </c>
      <c r="F4" s="11"/>
      <c r="G4" s="8"/>
      <c r="H4" s="9"/>
      <c r="I4" s="10"/>
    </row>
    <row r="5" spans="1:17" x14ac:dyDescent="0.3">
      <c r="E5" s="11" t="s">
        <v>10</v>
      </c>
      <c r="F5" s="9"/>
      <c r="G5" s="8"/>
      <c r="H5" s="9"/>
      <c r="I5" s="10"/>
    </row>
    <row r="6" spans="1:17" ht="15.6" x14ac:dyDescent="0.3">
      <c r="A6" s="12" t="s">
        <v>11</v>
      </c>
      <c r="B6" s="43" t="s">
        <v>18</v>
      </c>
      <c r="C6" s="43"/>
      <c r="D6" s="2"/>
      <c r="E6" s="13"/>
      <c r="F6" s="13"/>
      <c r="G6" s="13"/>
      <c r="H6" s="2"/>
      <c r="I6" s="10"/>
    </row>
    <row r="7" spans="1:17" x14ac:dyDescent="0.3">
      <c r="A7" s="14" t="s">
        <v>0</v>
      </c>
      <c r="B7" s="44" t="s">
        <v>12</v>
      </c>
      <c r="C7" s="44"/>
      <c r="D7" s="2"/>
      <c r="E7" s="13"/>
      <c r="F7" s="13"/>
      <c r="G7" s="13"/>
      <c r="H7" s="2"/>
      <c r="I7" s="10"/>
    </row>
    <row r="8" spans="1:17" x14ac:dyDescent="0.3">
      <c r="A8" s="15"/>
      <c r="B8" s="16"/>
      <c r="C8" s="2"/>
      <c r="D8" s="2"/>
      <c r="E8" s="13"/>
      <c r="F8" s="13"/>
      <c r="G8" s="13"/>
      <c r="H8" s="2"/>
      <c r="I8" s="17"/>
      <c r="J8" s="9"/>
      <c r="K8" s="9"/>
    </row>
    <row r="9" spans="1:17" x14ac:dyDescent="0.3">
      <c r="A9" s="18" t="s">
        <v>13</v>
      </c>
      <c r="B9" s="18" t="s">
        <v>14</v>
      </c>
      <c r="C9" s="18" t="s">
        <v>15</v>
      </c>
      <c r="D9" s="18" t="s">
        <v>1</v>
      </c>
      <c r="E9" s="19" t="s">
        <v>2</v>
      </c>
      <c r="F9" s="19" t="s">
        <v>16</v>
      </c>
      <c r="G9" s="19" t="s">
        <v>3</v>
      </c>
      <c r="H9" s="18" t="s">
        <v>17</v>
      </c>
      <c r="I9" s="18" t="s">
        <v>4</v>
      </c>
    </row>
    <row r="10" spans="1:17" x14ac:dyDescent="0.3">
      <c r="A10" s="45" t="s">
        <v>5</v>
      </c>
      <c r="B10" s="46"/>
      <c r="C10" s="1"/>
      <c r="D10" s="1"/>
      <c r="E10" s="3"/>
      <c r="F10" s="3"/>
      <c r="G10" s="3">
        <f>0</f>
        <v>0</v>
      </c>
      <c r="H10" s="1"/>
      <c r="I10" s="1"/>
    </row>
    <row r="11" spans="1:17" x14ac:dyDescent="0.3">
      <c r="A11" s="23" t="s">
        <v>31</v>
      </c>
      <c r="B11" s="23">
        <v>3581</v>
      </c>
      <c r="C11" s="23" t="s">
        <v>25</v>
      </c>
      <c r="D11" s="24"/>
      <c r="E11" s="25"/>
      <c r="F11" s="25">
        <v>35330</v>
      </c>
      <c r="G11" s="25">
        <f>G10+E11-F11</f>
        <v>-35330</v>
      </c>
      <c r="H11" s="23" t="s">
        <v>20</v>
      </c>
      <c r="I11" s="23"/>
      <c r="J11" s="5"/>
      <c r="K11" s="5"/>
      <c r="L11" s="5"/>
      <c r="M11" s="5"/>
      <c r="N11" s="5"/>
      <c r="O11" s="5"/>
      <c r="P11" s="5"/>
    </row>
    <row r="12" spans="1:17" x14ac:dyDescent="0.3">
      <c r="A12" s="20" t="s">
        <v>31</v>
      </c>
      <c r="B12" s="20">
        <v>3569</v>
      </c>
      <c r="C12" s="20"/>
      <c r="D12" s="20">
        <f>500+500+500+500+463.01</f>
        <v>2463.0100000000002</v>
      </c>
      <c r="E12" s="21">
        <v>34974.74</v>
      </c>
      <c r="F12" s="21"/>
      <c r="G12" s="26">
        <f>G11+E12-F12</f>
        <v>-355.26000000000204</v>
      </c>
      <c r="H12" s="20" t="s">
        <v>26</v>
      </c>
      <c r="I12" s="20">
        <v>0</v>
      </c>
    </row>
    <row r="13" spans="1:17" x14ac:dyDescent="0.3">
      <c r="A13" s="1" t="s">
        <v>32</v>
      </c>
      <c r="B13" s="1">
        <v>3573</v>
      </c>
      <c r="C13" s="1"/>
      <c r="D13" s="1">
        <v>25</v>
      </c>
      <c r="E13" s="21">
        <v>355</v>
      </c>
      <c r="F13" s="3"/>
      <c r="G13" s="26">
        <f>G12+E13-F13</f>
        <v>-0.26000000000203727</v>
      </c>
      <c r="H13" s="1" t="s">
        <v>26</v>
      </c>
      <c r="I13" s="1">
        <v>0</v>
      </c>
    </row>
    <row r="14" spans="1:17" x14ac:dyDescent="0.3">
      <c r="A14" s="27" t="s">
        <v>33</v>
      </c>
      <c r="B14" s="27">
        <v>3761</v>
      </c>
      <c r="C14" s="27" t="s">
        <v>25</v>
      </c>
      <c r="D14" s="27"/>
      <c r="E14" s="25"/>
      <c r="F14" s="28">
        <v>36920</v>
      </c>
      <c r="G14" s="25">
        <f t="shared" ref="G14:G18" si="0">G13+E14-F14</f>
        <v>-36920.26</v>
      </c>
      <c r="H14" s="23" t="s">
        <v>20</v>
      </c>
      <c r="I14" s="27"/>
      <c r="J14" s="5"/>
      <c r="K14" s="5"/>
      <c r="L14" s="5"/>
      <c r="M14" s="5"/>
      <c r="N14" s="5"/>
      <c r="O14" s="5"/>
      <c r="P14" s="5"/>
      <c r="Q14" s="5"/>
    </row>
    <row r="15" spans="1:17" x14ac:dyDescent="0.3">
      <c r="A15" s="1" t="s">
        <v>33</v>
      </c>
      <c r="B15" s="1">
        <v>3765</v>
      </c>
      <c r="C15" s="1"/>
      <c r="D15" s="1">
        <f>500+500+500+500+600</f>
        <v>2600</v>
      </c>
      <c r="E15" s="21">
        <v>36920</v>
      </c>
      <c r="F15" s="3"/>
      <c r="G15" s="26">
        <f t="shared" si="0"/>
        <v>-0.26000000000203727</v>
      </c>
      <c r="H15" s="20" t="s">
        <v>26</v>
      </c>
      <c r="I15" s="1">
        <v>0</v>
      </c>
    </row>
    <row r="16" spans="1:17" s="22" customFormat="1" x14ac:dyDescent="0.3">
      <c r="A16" s="31" t="s">
        <v>34</v>
      </c>
      <c r="B16" s="31">
        <v>3800</v>
      </c>
      <c r="C16" s="31"/>
      <c r="D16" s="31">
        <v>1000</v>
      </c>
      <c r="E16" s="26">
        <v>14200</v>
      </c>
      <c r="F16" s="32"/>
      <c r="G16" s="26">
        <f t="shared" si="0"/>
        <v>14199.739999999998</v>
      </c>
      <c r="H16" s="33" t="s">
        <v>26</v>
      </c>
      <c r="I16" s="31">
        <v>1</v>
      </c>
    </row>
    <row r="17" spans="1:17" s="5" customFormat="1" x14ac:dyDescent="0.3">
      <c r="A17" s="27" t="s">
        <v>34</v>
      </c>
      <c r="B17" s="27">
        <v>3852</v>
      </c>
      <c r="C17" s="27" t="s">
        <v>25</v>
      </c>
      <c r="D17" s="27"/>
      <c r="E17" s="28"/>
      <c r="F17" s="28">
        <v>16330</v>
      </c>
      <c r="G17" s="25">
        <f t="shared" si="0"/>
        <v>-2130.260000000002</v>
      </c>
      <c r="H17" s="27" t="s">
        <v>20</v>
      </c>
      <c r="I17" s="27"/>
    </row>
    <row r="18" spans="1:17" x14ac:dyDescent="0.3">
      <c r="A18" s="27" t="s">
        <v>35</v>
      </c>
      <c r="B18" s="27">
        <v>6230</v>
      </c>
      <c r="C18" s="27"/>
      <c r="D18" s="27">
        <v>150</v>
      </c>
      <c r="E18" s="28">
        <f>D18*13.55</f>
        <v>2032.5</v>
      </c>
      <c r="F18" s="28"/>
      <c r="G18" s="25">
        <f t="shared" si="0"/>
        <v>-97.760000000002037</v>
      </c>
      <c r="H18" s="33" t="s">
        <v>36</v>
      </c>
      <c r="I18" s="27"/>
      <c r="J18" s="5"/>
      <c r="K18" s="5"/>
      <c r="L18" s="5"/>
      <c r="M18" s="5"/>
      <c r="N18" s="5"/>
      <c r="O18" s="5"/>
      <c r="P18" s="5"/>
      <c r="Q18" s="5"/>
    </row>
    <row r="19" spans="1:17" x14ac:dyDescent="0.3">
      <c r="A19" s="1"/>
      <c r="B19" s="1"/>
      <c r="C19" s="1"/>
      <c r="D19" s="1"/>
      <c r="E19" s="3"/>
      <c r="F19" s="3"/>
      <c r="G19" s="26"/>
      <c r="H19" s="1"/>
      <c r="I19" s="1"/>
    </row>
    <row r="20" spans="1:17" x14ac:dyDescent="0.3">
      <c r="A20" s="1"/>
      <c r="B20" s="1"/>
      <c r="C20" s="1"/>
      <c r="D20" s="1"/>
      <c r="E20" s="3"/>
      <c r="F20" s="3"/>
      <c r="G20" s="26"/>
      <c r="H20" s="1"/>
      <c r="I20" s="1"/>
    </row>
    <row r="21" spans="1:17" x14ac:dyDescent="0.3">
      <c r="A21" s="1"/>
      <c r="B21" s="1"/>
      <c r="C21" s="1"/>
      <c r="D21" s="1"/>
      <c r="E21" s="3"/>
      <c r="F21" s="3"/>
      <c r="G21" s="3"/>
      <c r="H21" s="1"/>
      <c r="I21" s="1"/>
    </row>
    <row r="22" spans="1:17" x14ac:dyDescent="0.3">
      <c r="A22" s="1"/>
      <c r="B22" s="1"/>
      <c r="C22" s="1"/>
      <c r="D22" s="1"/>
      <c r="E22" s="3"/>
      <c r="F22" s="3"/>
      <c r="G22" s="3"/>
      <c r="H22" s="1"/>
      <c r="I22" s="1"/>
    </row>
    <row r="25" spans="1:17" x14ac:dyDescent="0.3">
      <c r="H25" s="22"/>
    </row>
  </sheetData>
  <mergeCells count="3">
    <mergeCell ref="B6:C6"/>
    <mergeCell ref="B7:C7"/>
    <mergeCell ref="A10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3"/>
  <sheetViews>
    <sheetView workbookViewId="0">
      <selection activeCell="E30" sqref="E30"/>
    </sheetView>
  </sheetViews>
  <sheetFormatPr defaultRowHeight="14.4" x14ac:dyDescent="0.3"/>
  <cols>
    <col min="1" max="1" width="13" customWidth="1"/>
    <col min="2" max="2" width="11.6640625" customWidth="1"/>
    <col min="3" max="3" width="10.44140625" customWidth="1"/>
    <col min="4" max="4" width="10.88671875" customWidth="1"/>
    <col min="5" max="5" width="11.44140625" style="4" customWidth="1"/>
    <col min="6" max="6" width="12.33203125" style="4" customWidth="1"/>
    <col min="7" max="7" width="11.88671875" style="4" customWidth="1"/>
    <col min="8" max="8" width="29.6640625" customWidth="1"/>
    <col min="9" max="9" width="11.5546875" customWidth="1"/>
  </cols>
  <sheetData>
    <row r="1" spans="1:10" x14ac:dyDescent="0.3">
      <c r="A1" s="7" t="s">
        <v>6</v>
      </c>
      <c r="E1" s="8"/>
      <c r="F1" s="8"/>
      <c r="G1" s="8"/>
      <c r="H1" s="9"/>
      <c r="I1" s="10"/>
    </row>
    <row r="2" spans="1:10" x14ac:dyDescent="0.3">
      <c r="E2" s="11" t="s">
        <v>7</v>
      </c>
      <c r="F2" s="11"/>
      <c r="G2" s="8"/>
      <c r="H2" s="9"/>
      <c r="I2" s="10"/>
    </row>
    <row r="3" spans="1:10" x14ac:dyDescent="0.3">
      <c r="E3" s="11" t="s">
        <v>8</v>
      </c>
      <c r="F3" s="11"/>
      <c r="G3" s="8"/>
      <c r="H3" s="9"/>
      <c r="I3" s="10"/>
    </row>
    <row r="4" spans="1:10" x14ac:dyDescent="0.3">
      <c r="E4" s="11" t="s">
        <v>9</v>
      </c>
      <c r="F4" s="11"/>
      <c r="G4" s="8"/>
      <c r="H4" s="9"/>
      <c r="I4" s="10"/>
    </row>
    <row r="5" spans="1:10" x14ac:dyDescent="0.3">
      <c r="E5" s="11" t="s">
        <v>10</v>
      </c>
      <c r="F5" s="9"/>
      <c r="G5" s="8"/>
      <c r="H5" s="9"/>
      <c r="I5" s="10"/>
    </row>
    <row r="6" spans="1:10" ht="15.6" x14ac:dyDescent="0.3">
      <c r="A6" s="12" t="s">
        <v>11</v>
      </c>
      <c r="B6" s="43" t="s">
        <v>18</v>
      </c>
      <c r="C6" s="43"/>
      <c r="D6" s="2"/>
      <c r="E6" s="13"/>
      <c r="F6" s="13"/>
      <c r="G6" s="13"/>
      <c r="H6" s="2"/>
      <c r="I6" s="10"/>
    </row>
    <row r="7" spans="1:10" x14ac:dyDescent="0.3">
      <c r="A7" s="14" t="s">
        <v>0</v>
      </c>
      <c r="B7" s="44" t="s">
        <v>12</v>
      </c>
      <c r="C7" s="44"/>
      <c r="D7" s="2"/>
      <c r="E7" s="13"/>
      <c r="F7" s="13"/>
      <c r="G7" s="13"/>
      <c r="H7" s="2"/>
      <c r="I7" s="10"/>
    </row>
    <row r="8" spans="1:10" x14ac:dyDescent="0.3">
      <c r="A8" s="15"/>
      <c r="B8" s="16"/>
      <c r="C8" s="2"/>
      <c r="D8" s="2"/>
      <c r="E8" s="13"/>
      <c r="F8" s="13"/>
      <c r="G8" s="13"/>
      <c r="H8" s="2"/>
      <c r="I8" s="17"/>
      <c r="J8" s="9"/>
    </row>
    <row r="9" spans="1:10" x14ac:dyDescent="0.3">
      <c r="A9" s="18" t="s">
        <v>13</v>
      </c>
      <c r="B9" s="18" t="s">
        <v>14</v>
      </c>
      <c r="C9" s="18" t="s">
        <v>15</v>
      </c>
      <c r="D9" s="18" t="s">
        <v>1</v>
      </c>
      <c r="E9" s="19" t="s">
        <v>2</v>
      </c>
      <c r="F9" s="19" t="s">
        <v>16</v>
      </c>
      <c r="G9" s="19" t="s">
        <v>3</v>
      </c>
      <c r="H9" s="18" t="s">
        <v>17</v>
      </c>
      <c r="I9" s="18" t="s">
        <v>4</v>
      </c>
    </row>
    <row r="10" spans="1:10" x14ac:dyDescent="0.3">
      <c r="A10" s="45" t="s">
        <v>5</v>
      </c>
      <c r="B10" s="46"/>
      <c r="C10" s="1"/>
      <c r="D10" s="1"/>
      <c r="E10" s="3"/>
      <c r="F10" s="3"/>
      <c r="G10" s="3">
        <f>SEPTEMBER!G18</f>
        <v>-97.760000000002037</v>
      </c>
      <c r="H10" s="1"/>
      <c r="I10" s="1"/>
    </row>
    <row r="11" spans="1:10" x14ac:dyDescent="0.3">
      <c r="A11" s="23" t="s">
        <v>37</v>
      </c>
      <c r="B11" s="23">
        <v>7366</v>
      </c>
      <c r="C11" s="23" t="s">
        <v>25</v>
      </c>
      <c r="D11" s="24"/>
      <c r="E11" s="25"/>
      <c r="F11" s="25">
        <v>25317</v>
      </c>
      <c r="G11" s="25">
        <f>G10+E11-F11</f>
        <v>-25414.760000000002</v>
      </c>
      <c r="H11" s="23" t="s">
        <v>20</v>
      </c>
      <c r="I11" s="23"/>
      <c r="J11" s="5"/>
    </row>
    <row r="12" spans="1:10" x14ac:dyDescent="0.3">
      <c r="A12" s="20" t="s">
        <v>37</v>
      </c>
      <c r="B12" s="20">
        <v>7364</v>
      </c>
      <c r="C12" s="20"/>
      <c r="D12" s="20">
        <f>700+700+540</f>
        <v>1940</v>
      </c>
      <c r="E12" s="21">
        <v>25317</v>
      </c>
      <c r="F12" s="21"/>
      <c r="G12" s="26">
        <f>G11+E12-F12</f>
        <v>-97.760000000002037</v>
      </c>
      <c r="H12" s="20" t="s">
        <v>21</v>
      </c>
      <c r="I12" s="20">
        <v>0</v>
      </c>
    </row>
    <row r="13" spans="1:10" s="5" customFormat="1" x14ac:dyDescent="0.3">
      <c r="A13" s="27" t="s">
        <v>38</v>
      </c>
      <c r="B13" s="27">
        <v>7465</v>
      </c>
      <c r="C13" s="27" t="s">
        <v>25</v>
      </c>
      <c r="D13" s="27"/>
      <c r="E13" s="25"/>
      <c r="F13" s="28">
        <v>26100</v>
      </c>
      <c r="G13" s="25">
        <f>G12+E13-F13</f>
        <v>-26197.760000000002</v>
      </c>
      <c r="H13" s="27" t="s">
        <v>20</v>
      </c>
      <c r="I13" s="27"/>
    </row>
    <row r="14" spans="1:10" s="22" customFormat="1" x14ac:dyDescent="0.3">
      <c r="A14" s="31" t="s">
        <v>38</v>
      </c>
      <c r="B14" s="31">
        <v>7466</v>
      </c>
      <c r="C14" s="31"/>
      <c r="D14" s="31">
        <v>2000</v>
      </c>
      <c r="E14" s="26">
        <v>26100</v>
      </c>
      <c r="F14" s="32"/>
      <c r="G14" s="26">
        <f>G13+E14-F14</f>
        <v>-97.760000000002037</v>
      </c>
      <c r="H14" s="33" t="s">
        <v>21</v>
      </c>
      <c r="I14" s="31">
        <v>0</v>
      </c>
    </row>
    <row r="15" spans="1:10" x14ac:dyDescent="0.3">
      <c r="A15" s="1" t="s">
        <v>39</v>
      </c>
      <c r="B15" s="1">
        <v>7615</v>
      </c>
      <c r="C15" s="1"/>
      <c r="D15" s="1">
        <f>600+700+700</f>
        <v>2000</v>
      </c>
      <c r="E15" s="21">
        <v>26100</v>
      </c>
      <c r="F15" s="3"/>
      <c r="G15" s="26">
        <f t="shared" ref="G15:G20" si="0">G14+E15-F15</f>
        <v>26002.239999999998</v>
      </c>
      <c r="H15" s="20" t="s">
        <v>21</v>
      </c>
      <c r="I15" s="1">
        <v>0</v>
      </c>
    </row>
    <row r="16" spans="1:10" s="5" customFormat="1" x14ac:dyDescent="0.3">
      <c r="A16" s="27" t="s">
        <v>39</v>
      </c>
      <c r="B16" s="27">
        <v>7608</v>
      </c>
      <c r="C16" s="27" t="s">
        <v>25</v>
      </c>
      <c r="D16" s="27"/>
      <c r="E16" s="25"/>
      <c r="F16" s="28">
        <v>26100</v>
      </c>
      <c r="G16" s="25">
        <f t="shared" si="0"/>
        <v>-97.760000000002037</v>
      </c>
      <c r="H16" s="23" t="s">
        <v>20</v>
      </c>
      <c r="I16" s="27"/>
    </row>
    <row r="17" spans="1:10" s="22" customFormat="1" x14ac:dyDescent="0.3">
      <c r="A17" s="31" t="s">
        <v>40</v>
      </c>
      <c r="B17" s="31">
        <v>7756</v>
      </c>
      <c r="C17" s="31"/>
      <c r="D17" s="31">
        <f>700+700+600</f>
        <v>2000</v>
      </c>
      <c r="E17" s="32">
        <v>26100</v>
      </c>
      <c r="F17" s="32"/>
      <c r="G17" s="26">
        <f t="shared" si="0"/>
        <v>26002.239999999998</v>
      </c>
      <c r="H17" s="31" t="s">
        <v>21</v>
      </c>
      <c r="I17" s="31">
        <v>0</v>
      </c>
    </row>
    <row r="18" spans="1:10" x14ac:dyDescent="0.3">
      <c r="A18" s="27" t="s">
        <v>40</v>
      </c>
      <c r="B18" s="27">
        <v>7765</v>
      </c>
      <c r="C18" s="27" t="s">
        <v>25</v>
      </c>
      <c r="D18" s="27"/>
      <c r="E18" s="28"/>
      <c r="F18" s="28">
        <v>26100</v>
      </c>
      <c r="G18" s="25">
        <f t="shared" si="0"/>
        <v>-97.760000000002037</v>
      </c>
      <c r="H18" s="23" t="s">
        <v>20</v>
      </c>
      <c r="I18" s="27"/>
      <c r="J18" s="5"/>
    </row>
    <row r="19" spans="1:10" x14ac:dyDescent="0.3">
      <c r="A19" s="1" t="s">
        <v>41</v>
      </c>
      <c r="B19" s="1">
        <v>7962</v>
      </c>
      <c r="C19" s="1"/>
      <c r="D19" s="1">
        <f>500+600</f>
        <v>1100</v>
      </c>
      <c r="E19" s="3">
        <v>14355</v>
      </c>
      <c r="F19" s="3"/>
      <c r="G19" s="26">
        <f t="shared" si="0"/>
        <v>14257.239999999998</v>
      </c>
      <c r="H19" s="1" t="s">
        <v>21</v>
      </c>
      <c r="I19" s="1">
        <v>0</v>
      </c>
    </row>
    <row r="20" spans="1:10" s="5" customFormat="1" x14ac:dyDescent="0.3">
      <c r="A20" s="27" t="s">
        <v>41</v>
      </c>
      <c r="B20" s="27">
        <v>7963</v>
      </c>
      <c r="C20" s="27" t="s">
        <v>25</v>
      </c>
      <c r="D20" s="27"/>
      <c r="E20" s="28"/>
      <c r="F20" s="28">
        <v>14355</v>
      </c>
      <c r="G20" s="25">
        <f t="shared" si="0"/>
        <v>-97.760000000002037</v>
      </c>
      <c r="H20" s="27" t="s">
        <v>20</v>
      </c>
      <c r="I20" s="27"/>
    </row>
    <row r="23" spans="1:10" x14ac:dyDescent="0.3">
      <c r="H23" s="22"/>
    </row>
  </sheetData>
  <mergeCells count="3">
    <mergeCell ref="B6:C6"/>
    <mergeCell ref="B7:C7"/>
    <mergeCell ref="A10:B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6"/>
  <sheetViews>
    <sheetView topLeftCell="A7" workbookViewId="0">
      <selection activeCell="A7" sqref="A1:R1048576"/>
    </sheetView>
  </sheetViews>
  <sheetFormatPr defaultRowHeight="14.4" x14ac:dyDescent="0.3"/>
  <cols>
    <col min="1" max="1" width="13" customWidth="1"/>
    <col min="2" max="2" width="11.6640625" customWidth="1"/>
    <col min="3" max="3" width="10.44140625" customWidth="1"/>
    <col min="4" max="4" width="10.88671875" customWidth="1"/>
    <col min="5" max="5" width="11.44140625" style="4" customWidth="1"/>
    <col min="6" max="6" width="12.33203125" style="4" customWidth="1"/>
    <col min="7" max="7" width="11.88671875" style="4" customWidth="1"/>
    <col min="8" max="8" width="29.6640625" customWidth="1"/>
    <col min="9" max="9" width="11.5546875" customWidth="1"/>
  </cols>
  <sheetData>
    <row r="1" spans="1:13" x14ac:dyDescent="0.3">
      <c r="A1" s="7" t="s">
        <v>6</v>
      </c>
      <c r="E1" s="8"/>
      <c r="F1" s="8"/>
      <c r="G1" s="8"/>
      <c r="H1" s="9"/>
      <c r="I1" s="10"/>
    </row>
    <row r="2" spans="1:13" x14ac:dyDescent="0.3">
      <c r="E2" s="11" t="s">
        <v>7</v>
      </c>
      <c r="F2" s="11"/>
      <c r="G2" s="8"/>
      <c r="H2" s="9"/>
      <c r="I2" s="10"/>
    </row>
    <row r="3" spans="1:13" x14ac:dyDescent="0.3">
      <c r="E3" s="11" t="s">
        <v>8</v>
      </c>
      <c r="F3" s="11"/>
      <c r="G3" s="8"/>
      <c r="H3" s="9"/>
      <c r="I3" s="10"/>
    </row>
    <row r="4" spans="1:13" x14ac:dyDescent="0.3">
      <c r="E4" s="11" t="s">
        <v>9</v>
      </c>
      <c r="F4" s="11"/>
      <c r="G4" s="8"/>
      <c r="H4" s="9"/>
      <c r="I4" s="10"/>
    </row>
    <row r="5" spans="1:13" x14ac:dyDescent="0.3">
      <c r="E5" s="11" t="s">
        <v>10</v>
      </c>
      <c r="F5" s="9"/>
      <c r="G5" s="8"/>
      <c r="H5" s="9"/>
      <c r="I5" s="10"/>
    </row>
    <row r="6" spans="1:13" ht="15.6" x14ac:dyDescent="0.3">
      <c r="A6" s="12" t="s">
        <v>11</v>
      </c>
      <c r="B6" s="43" t="s">
        <v>18</v>
      </c>
      <c r="C6" s="43"/>
      <c r="D6" s="2"/>
      <c r="E6" s="13"/>
      <c r="F6" s="13"/>
      <c r="G6" s="13"/>
      <c r="H6" s="2"/>
      <c r="I6" s="10"/>
    </row>
    <row r="7" spans="1:13" x14ac:dyDescent="0.3">
      <c r="A7" s="14" t="s">
        <v>0</v>
      </c>
      <c r="B7" s="44" t="s">
        <v>12</v>
      </c>
      <c r="C7" s="44"/>
      <c r="D7" s="2"/>
      <c r="E7" s="13"/>
      <c r="F7" s="13"/>
      <c r="G7" s="13"/>
      <c r="H7" s="2"/>
      <c r="I7" s="10"/>
    </row>
    <row r="8" spans="1:13" x14ac:dyDescent="0.3">
      <c r="A8" s="15"/>
      <c r="B8" s="16"/>
      <c r="C8" s="2"/>
      <c r="D8" s="2"/>
      <c r="E8" s="13"/>
      <c r="F8" s="13"/>
      <c r="G8" s="13"/>
      <c r="H8" s="2"/>
      <c r="I8" s="17"/>
      <c r="J8" s="9"/>
    </row>
    <row r="9" spans="1:13" x14ac:dyDescent="0.3">
      <c r="A9" s="18" t="s">
        <v>13</v>
      </c>
      <c r="B9" s="18" t="s">
        <v>14</v>
      </c>
      <c r="C9" s="18" t="s">
        <v>15</v>
      </c>
      <c r="D9" s="18" t="s">
        <v>1</v>
      </c>
      <c r="E9" s="19" t="s">
        <v>2</v>
      </c>
      <c r="F9" s="19" t="s">
        <v>16</v>
      </c>
      <c r="G9" s="19" t="s">
        <v>3</v>
      </c>
      <c r="H9" s="18" t="s">
        <v>17</v>
      </c>
      <c r="I9" s="18" t="s">
        <v>4</v>
      </c>
    </row>
    <row r="10" spans="1:13" x14ac:dyDescent="0.3">
      <c r="A10" s="45" t="s">
        <v>5</v>
      </c>
      <c r="B10" s="46"/>
      <c r="C10" s="1"/>
      <c r="D10" s="1"/>
      <c r="E10" s="3"/>
      <c r="F10" s="3"/>
      <c r="G10" s="3">
        <f>'JUNE 2025'!G20</f>
        <v>-97.760000000002037</v>
      </c>
      <c r="H10" s="1"/>
      <c r="I10" s="1"/>
    </row>
    <row r="11" spans="1:13" x14ac:dyDescent="0.3">
      <c r="A11" s="23" t="s">
        <v>42</v>
      </c>
      <c r="B11" s="23">
        <v>8160</v>
      </c>
      <c r="C11" s="23" t="s">
        <v>25</v>
      </c>
      <c r="D11" s="24"/>
      <c r="E11" s="25"/>
      <c r="F11" s="25">
        <v>26100</v>
      </c>
      <c r="G11" s="26">
        <f>G10+E11-F11</f>
        <v>-26197.760000000002</v>
      </c>
      <c r="H11" s="23" t="s">
        <v>20</v>
      </c>
      <c r="I11" s="23"/>
      <c r="J11" s="5"/>
    </row>
    <row r="12" spans="1:13" x14ac:dyDescent="0.3">
      <c r="A12" s="33" t="s">
        <v>42</v>
      </c>
      <c r="B12" s="20">
        <v>8161</v>
      </c>
      <c r="C12" s="20"/>
      <c r="D12" s="20">
        <v>2000</v>
      </c>
      <c r="E12" s="21">
        <v>26100</v>
      </c>
      <c r="F12" s="21"/>
      <c r="G12" s="26">
        <f t="shared" ref="G12:G26" si="0">G11+E12-F12</f>
        <v>-97.760000000002037</v>
      </c>
      <c r="H12" s="20" t="s">
        <v>26</v>
      </c>
      <c r="I12" s="20">
        <v>0</v>
      </c>
    </row>
    <row r="13" spans="1:13" x14ac:dyDescent="0.3">
      <c r="A13" s="31" t="s">
        <v>43</v>
      </c>
      <c r="B13" s="31">
        <v>8292</v>
      </c>
      <c r="C13" s="31"/>
      <c r="D13" s="31">
        <v>1200</v>
      </c>
      <c r="E13" s="26">
        <v>15660</v>
      </c>
      <c r="F13" s="28"/>
      <c r="G13" s="26">
        <f t="shared" si="0"/>
        <v>15562.239999999998</v>
      </c>
      <c r="H13" s="20" t="s">
        <v>26</v>
      </c>
      <c r="I13" s="20">
        <v>0</v>
      </c>
      <c r="J13" s="5"/>
      <c r="K13" s="5"/>
      <c r="L13" s="5"/>
      <c r="M13" s="5"/>
    </row>
    <row r="14" spans="1:13" s="5" customFormat="1" x14ac:dyDescent="0.3">
      <c r="A14" s="27" t="s">
        <v>43</v>
      </c>
      <c r="B14" s="27">
        <v>8293</v>
      </c>
      <c r="C14" s="27" t="s">
        <v>25</v>
      </c>
      <c r="D14" s="27"/>
      <c r="E14" s="25"/>
      <c r="F14" s="28">
        <v>15660</v>
      </c>
      <c r="G14" s="26">
        <f t="shared" si="0"/>
        <v>-97.760000000002037</v>
      </c>
      <c r="H14" s="23" t="s">
        <v>20</v>
      </c>
      <c r="I14" s="33">
        <v>0</v>
      </c>
    </row>
    <row r="15" spans="1:13" x14ac:dyDescent="0.3">
      <c r="A15" s="1" t="s">
        <v>44</v>
      </c>
      <c r="B15" s="1">
        <v>8400</v>
      </c>
      <c r="C15" s="1"/>
      <c r="D15" s="1">
        <f>700+700+500</f>
        <v>1900</v>
      </c>
      <c r="E15" s="21">
        <v>24795</v>
      </c>
      <c r="F15" s="3"/>
      <c r="G15" s="26">
        <f t="shared" si="0"/>
        <v>24697.239999999998</v>
      </c>
      <c r="H15" s="20" t="s">
        <v>26</v>
      </c>
      <c r="I15" s="1">
        <v>0</v>
      </c>
    </row>
    <row r="16" spans="1:13" x14ac:dyDescent="0.3">
      <c r="A16" s="27" t="s">
        <v>44</v>
      </c>
      <c r="B16" s="27">
        <v>8399</v>
      </c>
      <c r="C16" s="27" t="s">
        <v>25</v>
      </c>
      <c r="D16" s="27"/>
      <c r="E16" s="25"/>
      <c r="F16" s="28">
        <v>24795</v>
      </c>
      <c r="G16" s="26">
        <f t="shared" si="0"/>
        <v>-97.760000000002037</v>
      </c>
      <c r="H16" s="23" t="s">
        <v>20</v>
      </c>
      <c r="I16" s="27"/>
      <c r="J16" s="5"/>
      <c r="K16" s="5"/>
      <c r="L16" s="5"/>
      <c r="M16" s="5"/>
    </row>
    <row r="17" spans="1:13" s="5" customFormat="1" x14ac:dyDescent="0.3">
      <c r="A17" s="27" t="s">
        <v>45</v>
      </c>
      <c r="B17" s="27">
        <v>8499</v>
      </c>
      <c r="C17" s="27" t="s">
        <v>25</v>
      </c>
      <c r="D17" s="27"/>
      <c r="E17" s="28"/>
      <c r="F17" s="28">
        <v>26100</v>
      </c>
      <c r="G17" s="26">
        <f t="shared" si="0"/>
        <v>-26197.760000000002</v>
      </c>
      <c r="H17" s="27" t="s">
        <v>20</v>
      </c>
      <c r="I17" s="27"/>
    </row>
    <row r="18" spans="1:13" s="22" customFormat="1" x14ac:dyDescent="0.3">
      <c r="A18" s="27" t="s">
        <v>45</v>
      </c>
      <c r="B18" s="31">
        <v>8501</v>
      </c>
      <c r="C18" s="31"/>
      <c r="D18" s="31">
        <f>700+700+600</f>
        <v>2000</v>
      </c>
      <c r="E18" s="32">
        <v>26100</v>
      </c>
      <c r="F18" s="32"/>
      <c r="G18" s="26">
        <f t="shared" si="0"/>
        <v>-97.760000000002037</v>
      </c>
      <c r="H18" s="33" t="s">
        <v>26</v>
      </c>
      <c r="I18" s="31">
        <v>0</v>
      </c>
    </row>
    <row r="19" spans="1:13" s="5" customFormat="1" x14ac:dyDescent="0.3">
      <c r="A19" s="27" t="s">
        <v>46</v>
      </c>
      <c r="B19" s="27">
        <v>8681</v>
      </c>
      <c r="C19" s="27" t="s">
        <v>25</v>
      </c>
      <c r="D19" s="27"/>
      <c r="E19" s="28"/>
      <c r="F19" s="28">
        <v>15660</v>
      </c>
      <c r="G19" s="26">
        <f t="shared" si="0"/>
        <v>-15757.760000000002</v>
      </c>
      <c r="H19" s="27" t="s">
        <v>20</v>
      </c>
      <c r="I19" s="27"/>
    </row>
    <row r="20" spans="1:13" x14ac:dyDescent="0.3">
      <c r="A20" s="1" t="s">
        <v>46</v>
      </c>
      <c r="B20" s="31">
        <v>8687</v>
      </c>
      <c r="C20" s="27"/>
      <c r="D20" s="31">
        <f>600+600</f>
        <v>1200</v>
      </c>
      <c r="E20" s="32">
        <v>15660</v>
      </c>
      <c r="F20" s="28"/>
      <c r="G20" s="26">
        <f t="shared" si="0"/>
        <v>-97.760000000002037</v>
      </c>
      <c r="H20" s="31" t="s">
        <v>26</v>
      </c>
      <c r="I20" s="27">
        <v>0</v>
      </c>
      <c r="J20" s="5"/>
      <c r="K20" s="5"/>
      <c r="L20" s="5"/>
      <c r="M20" s="5"/>
    </row>
    <row r="21" spans="1:13" x14ac:dyDescent="0.3">
      <c r="A21" s="27" t="s">
        <v>47</v>
      </c>
      <c r="B21" s="27">
        <v>8819</v>
      </c>
      <c r="C21" s="27" t="s">
        <v>25</v>
      </c>
      <c r="D21" s="27"/>
      <c r="E21" s="28"/>
      <c r="F21" s="28">
        <v>15660</v>
      </c>
      <c r="G21" s="26">
        <f t="shared" si="0"/>
        <v>-15757.760000000002</v>
      </c>
      <c r="H21" s="27" t="s">
        <v>20</v>
      </c>
      <c r="I21" s="27"/>
    </row>
    <row r="22" spans="1:13" s="22" customFormat="1" x14ac:dyDescent="0.3">
      <c r="A22" s="31" t="s">
        <v>47</v>
      </c>
      <c r="B22" s="31">
        <v>8818</v>
      </c>
      <c r="C22" s="31"/>
      <c r="D22" s="31">
        <v>1200</v>
      </c>
      <c r="E22" s="32">
        <v>15660</v>
      </c>
      <c r="F22" s="32"/>
      <c r="G22" s="26">
        <f t="shared" si="0"/>
        <v>-97.760000000002037</v>
      </c>
      <c r="H22" s="31" t="s">
        <v>26</v>
      </c>
      <c r="I22" s="31">
        <v>0</v>
      </c>
    </row>
    <row r="23" spans="1:13" x14ac:dyDescent="0.3">
      <c r="A23" s="27" t="s">
        <v>48</v>
      </c>
      <c r="B23" s="27">
        <v>8977</v>
      </c>
      <c r="C23" s="27" t="s">
        <v>25</v>
      </c>
      <c r="D23" s="27"/>
      <c r="E23" s="28"/>
      <c r="F23" s="28">
        <v>13050</v>
      </c>
      <c r="G23" s="26">
        <f t="shared" si="0"/>
        <v>-13147.760000000002</v>
      </c>
      <c r="H23" s="27" t="s">
        <v>20</v>
      </c>
      <c r="I23" s="27"/>
    </row>
    <row r="24" spans="1:13" s="22" customFormat="1" x14ac:dyDescent="0.3">
      <c r="A24" s="31" t="s">
        <v>48</v>
      </c>
      <c r="B24" s="31">
        <v>8974</v>
      </c>
      <c r="C24" s="31"/>
      <c r="D24" s="31">
        <v>1000</v>
      </c>
      <c r="E24" s="32">
        <v>13050</v>
      </c>
      <c r="F24" s="32"/>
      <c r="G24" s="26">
        <f t="shared" si="0"/>
        <v>-97.760000000002037</v>
      </c>
      <c r="H24" s="31" t="s">
        <v>26</v>
      </c>
      <c r="I24" s="31">
        <v>0</v>
      </c>
    </row>
    <row r="25" spans="1:13" x14ac:dyDescent="0.3">
      <c r="A25" s="31" t="s">
        <v>49</v>
      </c>
      <c r="B25" s="31">
        <v>9119</v>
      </c>
      <c r="C25" s="27"/>
      <c r="D25" s="31">
        <v>1800</v>
      </c>
      <c r="E25" s="32">
        <v>23490</v>
      </c>
      <c r="F25" s="28"/>
      <c r="G25" s="26">
        <f t="shared" si="0"/>
        <v>23392.239999999998</v>
      </c>
      <c r="H25" s="31" t="s">
        <v>26</v>
      </c>
      <c r="I25" s="31">
        <v>0</v>
      </c>
    </row>
    <row r="26" spans="1:13" x14ac:dyDescent="0.3">
      <c r="A26" s="31" t="s">
        <v>49</v>
      </c>
      <c r="B26" s="27">
        <v>9136</v>
      </c>
      <c r="C26" s="27" t="s">
        <v>25</v>
      </c>
      <c r="D26" s="27"/>
      <c r="E26" s="28"/>
      <c r="F26" s="28">
        <v>23490</v>
      </c>
      <c r="G26" s="26">
        <f t="shared" si="0"/>
        <v>-97.760000000002037</v>
      </c>
      <c r="H26" s="27" t="s">
        <v>20</v>
      </c>
      <c r="I26" s="27"/>
    </row>
  </sheetData>
  <mergeCells count="3">
    <mergeCell ref="B6:C6"/>
    <mergeCell ref="B7:C7"/>
    <mergeCell ref="A10:B10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6"/>
  <sheetViews>
    <sheetView workbookViewId="0">
      <selection sqref="A1:V1048576"/>
    </sheetView>
  </sheetViews>
  <sheetFormatPr defaultRowHeight="14.4" x14ac:dyDescent="0.3"/>
  <cols>
    <col min="1" max="1" width="13" customWidth="1"/>
    <col min="2" max="2" width="11.6640625" customWidth="1"/>
    <col min="3" max="3" width="10.44140625" customWidth="1"/>
    <col min="4" max="4" width="10.88671875" customWidth="1"/>
    <col min="5" max="5" width="11.44140625" style="4" customWidth="1"/>
    <col min="6" max="6" width="12.33203125" style="4" customWidth="1"/>
    <col min="7" max="7" width="11.88671875" style="4" customWidth="1"/>
    <col min="8" max="8" width="29.6640625" customWidth="1"/>
    <col min="9" max="9" width="11.5546875" customWidth="1"/>
  </cols>
  <sheetData>
    <row r="1" spans="1:18" x14ac:dyDescent="0.3">
      <c r="A1" s="7" t="s">
        <v>6</v>
      </c>
      <c r="E1" s="8"/>
      <c r="F1" s="8"/>
      <c r="G1" s="8"/>
      <c r="H1" s="9"/>
      <c r="I1" s="10"/>
    </row>
    <row r="2" spans="1:18" x14ac:dyDescent="0.3">
      <c r="E2" s="11" t="s">
        <v>7</v>
      </c>
      <c r="F2" s="11"/>
      <c r="G2" s="8"/>
      <c r="H2" s="9"/>
      <c r="I2" s="10"/>
    </row>
    <row r="3" spans="1:18" x14ac:dyDescent="0.3">
      <c r="E3" s="11" t="s">
        <v>8</v>
      </c>
      <c r="F3" s="11"/>
      <c r="G3" s="8"/>
      <c r="H3" s="9"/>
      <c r="I3" s="10"/>
    </row>
    <row r="4" spans="1:18" x14ac:dyDescent="0.3">
      <c r="E4" s="11" t="s">
        <v>9</v>
      </c>
      <c r="F4" s="11"/>
      <c r="G4" s="8"/>
      <c r="H4" s="9"/>
      <c r="I4" s="10"/>
    </row>
    <row r="5" spans="1:18" x14ac:dyDescent="0.3">
      <c r="E5" s="11" t="s">
        <v>10</v>
      </c>
      <c r="F5" s="9"/>
      <c r="G5" s="8"/>
      <c r="H5" s="9"/>
      <c r="I5" s="10"/>
    </row>
    <row r="6" spans="1:18" ht="15.6" x14ac:dyDescent="0.3">
      <c r="A6" s="12" t="s">
        <v>11</v>
      </c>
      <c r="B6" s="43" t="s">
        <v>18</v>
      </c>
      <c r="C6" s="43"/>
      <c r="D6" s="2"/>
      <c r="E6" s="13"/>
      <c r="F6" s="13"/>
      <c r="G6" s="13"/>
      <c r="H6" s="2"/>
      <c r="I6" s="10"/>
    </row>
    <row r="7" spans="1:18" x14ac:dyDescent="0.3">
      <c r="A7" s="14" t="s">
        <v>0</v>
      </c>
      <c r="B7" s="44" t="s">
        <v>12</v>
      </c>
      <c r="C7" s="44"/>
      <c r="D7" s="2"/>
      <c r="E7" s="13"/>
      <c r="F7" s="13"/>
      <c r="G7" s="13"/>
      <c r="H7" s="2"/>
      <c r="I7" s="10"/>
    </row>
    <row r="8" spans="1:18" x14ac:dyDescent="0.3">
      <c r="A8" s="15"/>
      <c r="B8" s="16"/>
      <c r="C8" s="2"/>
      <c r="D8" s="2"/>
      <c r="E8" s="13"/>
      <c r="F8" s="13"/>
      <c r="G8" s="13"/>
      <c r="H8" s="2"/>
      <c r="I8" s="17"/>
      <c r="J8" s="9"/>
    </row>
    <row r="9" spans="1:18" x14ac:dyDescent="0.3">
      <c r="A9" s="18" t="s">
        <v>13</v>
      </c>
      <c r="B9" s="18" t="s">
        <v>14</v>
      </c>
      <c r="C9" s="18" t="s">
        <v>15</v>
      </c>
      <c r="D9" s="18" t="s">
        <v>1</v>
      </c>
      <c r="E9" s="19" t="s">
        <v>2</v>
      </c>
      <c r="F9" s="19" t="s">
        <v>16</v>
      </c>
      <c r="G9" s="19" t="s">
        <v>3</v>
      </c>
      <c r="H9" s="18" t="s">
        <v>17</v>
      </c>
      <c r="I9" s="18" t="s">
        <v>4</v>
      </c>
    </row>
    <row r="10" spans="1:18" x14ac:dyDescent="0.3">
      <c r="A10" s="45" t="s">
        <v>5</v>
      </c>
      <c r="B10" s="46"/>
      <c r="C10" s="1"/>
      <c r="D10" s="1"/>
      <c r="E10" s="3"/>
      <c r="F10" s="3"/>
      <c r="G10" s="3">
        <f>'JULY 2025'!G26</f>
        <v>-97.760000000002037</v>
      </c>
      <c r="H10" s="1"/>
      <c r="I10" s="1"/>
    </row>
    <row r="11" spans="1:18" s="5" customFormat="1" x14ac:dyDescent="0.3">
      <c r="A11" s="23" t="s">
        <v>50</v>
      </c>
      <c r="B11" s="23">
        <v>1282</v>
      </c>
      <c r="C11" s="23" t="s">
        <v>25</v>
      </c>
      <c r="D11" s="24"/>
      <c r="E11" s="25"/>
      <c r="F11" s="25">
        <v>3000</v>
      </c>
      <c r="G11" s="25">
        <f>G10+E11-F11</f>
        <v>-3097.760000000002</v>
      </c>
      <c r="H11" s="23" t="s">
        <v>51</v>
      </c>
      <c r="I11" s="23"/>
    </row>
    <row r="12" spans="1:18" x14ac:dyDescent="0.3">
      <c r="A12" s="33" t="s">
        <v>50</v>
      </c>
      <c r="B12" s="20">
        <v>1258</v>
      </c>
      <c r="C12" s="20"/>
      <c r="D12" s="20">
        <v>114.94</v>
      </c>
      <c r="E12" s="21">
        <v>1500</v>
      </c>
      <c r="F12" s="21"/>
      <c r="G12" s="26">
        <f t="shared" ref="G12:G13" si="0">G11+E12-F12</f>
        <v>-1597.760000000002</v>
      </c>
      <c r="H12" s="20" t="s">
        <v>52</v>
      </c>
      <c r="I12" s="20">
        <v>0</v>
      </c>
    </row>
    <row r="13" spans="1:18" x14ac:dyDescent="0.3">
      <c r="A13" s="31" t="s">
        <v>50</v>
      </c>
      <c r="B13" s="31">
        <v>1259</v>
      </c>
      <c r="C13" s="31"/>
      <c r="D13" s="31">
        <v>114.94</v>
      </c>
      <c r="E13" s="26">
        <v>1500</v>
      </c>
      <c r="F13" s="28"/>
      <c r="G13" s="26">
        <f t="shared" si="0"/>
        <v>-97.760000000002037</v>
      </c>
      <c r="H13" s="20" t="s">
        <v>53</v>
      </c>
      <c r="I13" s="20">
        <v>0</v>
      </c>
      <c r="J13" s="5"/>
      <c r="K13" s="5"/>
      <c r="L13" s="5"/>
      <c r="M13" s="5"/>
    </row>
    <row r="14" spans="1:18" x14ac:dyDescent="0.3">
      <c r="A14" s="27"/>
      <c r="B14" s="27"/>
      <c r="C14" s="27"/>
      <c r="D14" s="27"/>
      <c r="E14" s="25"/>
      <c r="F14" s="28"/>
      <c r="G14" s="26"/>
      <c r="H14" s="23"/>
      <c r="I14" s="33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3">
      <c r="A15" s="1"/>
      <c r="B15" s="1"/>
      <c r="C15" s="1"/>
      <c r="D15" s="1"/>
      <c r="E15" s="21"/>
      <c r="F15" s="3"/>
      <c r="G15" s="26"/>
      <c r="H15" s="20"/>
      <c r="I15" s="1"/>
    </row>
    <row r="16" spans="1:18" x14ac:dyDescent="0.3">
      <c r="A16" s="27"/>
      <c r="B16" s="27"/>
      <c r="C16" s="27"/>
      <c r="D16" s="27"/>
      <c r="E16" s="25"/>
      <c r="F16" s="28"/>
      <c r="G16" s="26"/>
      <c r="H16" s="23"/>
      <c r="I16" s="27"/>
      <c r="J16" s="5"/>
      <c r="K16" s="5"/>
      <c r="L16" s="5"/>
      <c r="M16" s="5"/>
    </row>
    <row r="17" spans="1:18" x14ac:dyDescent="0.3">
      <c r="A17" s="27"/>
      <c r="B17" s="27"/>
      <c r="C17" s="27"/>
      <c r="D17" s="27"/>
      <c r="E17" s="28"/>
      <c r="F17" s="28"/>
      <c r="G17" s="26"/>
      <c r="H17" s="27"/>
      <c r="I17" s="27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3">
      <c r="A18" s="27"/>
      <c r="B18" s="31"/>
      <c r="C18" s="31"/>
      <c r="D18" s="31"/>
      <c r="E18" s="32"/>
      <c r="F18" s="32"/>
      <c r="G18" s="26"/>
      <c r="H18" s="33"/>
      <c r="I18" s="31"/>
      <c r="J18" s="22"/>
      <c r="K18" s="22"/>
      <c r="L18" s="22"/>
      <c r="M18" s="22"/>
      <c r="N18" s="22"/>
      <c r="O18" s="22"/>
      <c r="P18" s="22"/>
      <c r="Q18" s="22"/>
      <c r="R18" s="22"/>
    </row>
    <row r="19" spans="1:18" x14ac:dyDescent="0.3">
      <c r="A19" s="27"/>
      <c r="B19" s="27"/>
      <c r="C19" s="27"/>
      <c r="D19" s="27"/>
      <c r="E19" s="28"/>
      <c r="F19" s="28"/>
      <c r="G19" s="26"/>
      <c r="H19" s="27"/>
      <c r="I19" s="27"/>
      <c r="J19" s="5"/>
      <c r="K19" s="5"/>
      <c r="L19" s="5"/>
      <c r="M19" s="5"/>
      <c r="N19" s="5"/>
      <c r="O19" s="5"/>
      <c r="P19" s="5"/>
      <c r="Q19" s="5"/>
      <c r="R19" s="5"/>
    </row>
    <row r="20" spans="1:18" x14ac:dyDescent="0.3">
      <c r="A20" s="1"/>
      <c r="B20" s="31"/>
      <c r="C20" s="27"/>
      <c r="D20" s="31"/>
      <c r="E20" s="32"/>
      <c r="F20" s="28"/>
      <c r="G20" s="26"/>
      <c r="H20" s="31"/>
      <c r="I20" s="27"/>
      <c r="J20" s="5"/>
      <c r="K20" s="5"/>
      <c r="L20" s="5"/>
      <c r="M20" s="5"/>
    </row>
    <row r="21" spans="1:18" x14ac:dyDescent="0.3">
      <c r="A21" s="27"/>
      <c r="B21" s="27"/>
      <c r="C21" s="27"/>
      <c r="D21" s="27"/>
      <c r="E21" s="28"/>
      <c r="F21" s="28"/>
      <c r="G21" s="26"/>
      <c r="H21" s="27"/>
      <c r="I21" s="27"/>
    </row>
    <row r="22" spans="1:18" x14ac:dyDescent="0.3">
      <c r="A22" s="31"/>
      <c r="B22" s="31"/>
      <c r="C22" s="31"/>
      <c r="D22" s="31"/>
      <c r="E22" s="32"/>
      <c r="F22" s="32"/>
      <c r="G22" s="26"/>
      <c r="H22" s="31"/>
      <c r="I22" s="31"/>
      <c r="J22" s="22"/>
      <c r="K22" s="22"/>
      <c r="L22" s="22"/>
      <c r="M22" s="22"/>
      <c r="N22" s="22"/>
      <c r="O22" s="22"/>
      <c r="P22" s="22"/>
      <c r="Q22" s="22"/>
      <c r="R22" s="22"/>
    </row>
    <row r="23" spans="1:18" x14ac:dyDescent="0.3">
      <c r="A23" s="27"/>
      <c r="B23" s="27"/>
      <c r="C23" s="27"/>
      <c r="D23" s="27"/>
      <c r="E23" s="28"/>
      <c r="F23" s="28"/>
      <c r="G23" s="26"/>
      <c r="H23" s="27"/>
      <c r="I23" s="27"/>
    </row>
    <row r="24" spans="1:18" x14ac:dyDescent="0.3">
      <c r="A24" s="31"/>
      <c r="B24" s="31"/>
      <c r="C24" s="31"/>
      <c r="D24" s="31"/>
      <c r="E24" s="32"/>
      <c r="F24" s="32"/>
      <c r="G24" s="26"/>
      <c r="H24" s="31"/>
      <c r="I24" s="31"/>
      <c r="J24" s="22"/>
      <c r="K24" s="22"/>
      <c r="L24" s="22"/>
      <c r="M24" s="22"/>
      <c r="N24" s="22"/>
      <c r="O24" s="22"/>
      <c r="P24" s="22"/>
      <c r="Q24" s="22"/>
      <c r="R24" s="22"/>
    </row>
    <row r="25" spans="1:18" x14ac:dyDescent="0.3">
      <c r="A25" s="31"/>
      <c r="B25" s="31"/>
      <c r="C25" s="27"/>
      <c r="D25" s="31"/>
      <c r="E25" s="32"/>
      <c r="F25" s="28"/>
      <c r="G25" s="26"/>
      <c r="H25" s="31"/>
      <c r="I25" s="31"/>
    </row>
    <row r="26" spans="1:18" x14ac:dyDescent="0.3">
      <c r="A26" s="31"/>
      <c r="B26" s="27"/>
      <c r="C26" s="27"/>
      <c r="D26" s="27"/>
      <c r="E26" s="28"/>
      <c r="F26" s="28"/>
      <c r="G26" s="26"/>
      <c r="H26" s="27"/>
      <c r="I26" s="27"/>
    </row>
  </sheetData>
  <mergeCells count="3">
    <mergeCell ref="B6:C6"/>
    <mergeCell ref="B7:C7"/>
    <mergeCell ref="A10:B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4"/>
  <sheetViews>
    <sheetView workbookViewId="0">
      <selection activeCell="G11" sqref="G11"/>
    </sheetView>
  </sheetViews>
  <sheetFormatPr defaultRowHeight="14.4" x14ac:dyDescent="0.3"/>
  <cols>
    <col min="1" max="1" width="13" customWidth="1"/>
    <col min="2" max="2" width="11.6640625" customWidth="1"/>
    <col min="3" max="3" width="10.44140625" customWidth="1"/>
    <col min="4" max="4" width="10.88671875" customWidth="1"/>
    <col min="5" max="5" width="11.44140625" style="4" customWidth="1"/>
    <col min="6" max="6" width="12.33203125" style="4" customWidth="1"/>
    <col min="7" max="7" width="11.88671875" style="4" customWidth="1"/>
    <col min="8" max="8" width="29.6640625" customWidth="1"/>
    <col min="9" max="9" width="11.5546875" customWidth="1"/>
  </cols>
  <sheetData>
    <row r="1" spans="1:13" x14ac:dyDescent="0.3">
      <c r="A1" s="7" t="s">
        <v>6</v>
      </c>
      <c r="E1" s="8"/>
      <c r="F1" s="8"/>
      <c r="G1" s="8"/>
      <c r="H1" s="9"/>
      <c r="I1" s="10"/>
    </row>
    <row r="2" spans="1:13" x14ac:dyDescent="0.3">
      <c r="E2" s="11" t="s">
        <v>7</v>
      </c>
      <c r="F2" s="11"/>
      <c r="G2" s="8"/>
      <c r="H2" s="9"/>
      <c r="I2" s="10"/>
    </row>
    <row r="3" spans="1:13" x14ac:dyDescent="0.3">
      <c r="E3" s="11" t="s">
        <v>8</v>
      </c>
      <c r="F3" s="11"/>
      <c r="G3" s="8"/>
      <c r="H3" s="9"/>
      <c r="I3" s="10"/>
    </row>
    <row r="4" spans="1:13" x14ac:dyDescent="0.3">
      <c r="E4" s="11" t="s">
        <v>9</v>
      </c>
      <c r="F4" s="11"/>
      <c r="G4" s="8"/>
      <c r="H4" s="9"/>
      <c r="I4" s="10"/>
    </row>
    <row r="5" spans="1:13" x14ac:dyDescent="0.3">
      <c r="E5" s="11" t="s">
        <v>10</v>
      </c>
      <c r="F5" s="9"/>
      <c r="G5" s="8"/>
      <c r="H5" s="9"/>
      <c r="I5" s="10"/>
    </row>
    <row r="6" spans="1:13" ht="15.6" x14ac:dyDescent="0.3">
      <c r="A6" s="12" t="s">
        <v>11</v>
      </c>
      <c r="B6" s="43" t="s">
        <v>18</v>
      </c>
      <c r="C6" s="43"/>
      <c r="D6" s="2"/>
      <c r="E6" s="13"/>
      <c r="F6" s="13"/>
      <c r="G6" s="13"/>
      <c r="H6" s="2"/>
      <c r="I6" s="10"/>
    </row>
    <row r="7" spans="1:13" x14ac:dyDescent="0.3">
      <c r="A7" s="14" t="s">
        <v>0</v>
      </c>
      <c r="B7" s="44" t="s">
        <v>12</v>
      </c>
      <c r="C7" s="44"/>
      <c r="D7" s="2"/>
      <c r="E7" s="13"/>
      <c r="F7" s="13"/>
      <c r="G7" s="13"/>
      <c r="H7" s="2"/>
      <c r="I7" s="10"/>
    </row>
    <row r="8" spans="1:13" x14ac:dyDescent="0.3">
      <c r="A8" s="15"/>
      <c r="B8" s="16"/>
      <c r="C8" s="2"/>
      <c r="D8" s="2"/>
      <c r="E8" s="13"/>
      <c r="F8" s="13"/>
      <c r="G8" s="13"/>
      <c r="H8" s="2"/>
      <c r="I8" s="17"/>
      <c r="J8" s="9"/>
    </row>
    <row r="9" spans="1:13" x14ac:dyDescent="0.3">
      <c r="A9" s="18" t="s">
        <v>13</v>
      </c>
      <c r="B9" s="18" t="s">
        <v>14</v>
      </c>
      <c r="C9" s="18" t="s">
        <v>15</v>
      </c>
      <c r="D9" s="18" t="s">
        <v>1</v>
      </c>
      <c r="E9" s="19" t="s">
        <v>2</v>
      </c>
      <c r="F9" s="19" t="s">
        <v>16</v>
      </c>
      <c r="G9" s="19" t="s">
        <v>3</v>
      </c>
      <c r="H9" s="18" t="s">
        <v>17</v>
      </c>
      <c r="I9" s="18" t="s">
        <v>4</v>
      </c>
    </row>
    <row r="10" spans="1:13" x14ac:dyDescent="0.3">
      <c r="A10" s="45" t="s">
        <v>5</v>
      </c>
      <c r="B10" s="46"/>
      <c r="C10" s="1"/>
      <c r="D10" s="1"/>
      <c r="E10" s="3"/>
      <c r="F10" s="3"/>
      <c r="G10" s="3">
        <v>0</v>
      </c>
      <c r="H10" s="1"/>
      <c r="I10" s="1"/>
    </row>
    <row r="11" spans="1:13" s="22" customFormat="1" x14ac:dyDescent="0.3">
      <c r="A11" s="33" t="s">
        <v>54</v>
      </c>
      <c r="B11" s="33">
        <v>7763</v>
      </c>
      <c r="C11" s="33"/>
      <c r="D11" s="34">
        <v>400</v>
      </c>
      <c r="E11" s="35">
        <v>5960</v>
      </c>
      <c r="F11" s="26"/>
      <c r="G11" s="26">
        <f>G10+E11-F11</f>
        <v>5960</v>
      </c>
      <c r="H11" s="33" t="s">
        <v>53</v>
      </c>
      <c r="I11" s="33">
        <v>0</v>
      </c>
    </row>
    <row r="12" spans="1:13" x14ac:dyDescent="0.3">
      <c r="A12" s="33" t="s">
        <v>55</v>
      </c>
      <c r="B12" s="20">
        <v>7820</v>
      </c>
      <c r="C12" s="20"/>
      <c r="D12" s="20">
        <v>400</v>
      </c>
      <c r="E12" s="36">
        <v>5960</v>
      </c>
      <c r="F12" s="21"/>
      <c r="G12" s="26">
        <f t="shared" ref="G12" si="0">G11+E12-F12</f>
        <v>11920</v>
      </c>
      <c r="H12" s="20" t="s">
        <v>26</v>
      </c>
      <c r="I12" s="20">
        <v>0</v>
      </c>
    </row>
    <row r="13" spans="1:13" x14ac:dyDescent="0.3">
      <c r="A13" s="31" t="s">
        <v>56</v>
      </c>
      <c r="B13" s="31">
        <v>8007</v>
      </c>
      <c r="C13" s="31"/>
      <c r="D13" s="31">
        <v>400</v>
      </c>
      <c r="E13" s="26">
        <v>5960</v>
      </c>
      <c r="F13" s="28"/>
      <c r="G13" s="26">
        <f>G12+E13-F13</f>
        <v>17880</v>
      </c>
      <c r="H13" s="20" t="s">
        <v>53</v>
      </c>
      <c r="I13" s="20">
        <v>0</v>
      </c>
      <c r="J13" s="5"/>
      <c r="K13" s="5"/>
      <c r="L13" s="5"/>
      <c r="M13" s="5"/>
    </row>
    <row r="14" spans="1:13" s="22" customFormat="1" x14ac:dyDescent="0.3">
      <c r="A14" s="31" t="s">
        <v>57</v>
      </c>
      <c r="B14" s="31">
        <v>8078</v>
      </c>
      <c r="C14" s="31"/>
      <c r="D14" s="31">
        <v>400</v>
      </c>
      <c r="E14" s="26">
        <v>5960</v>
      </c>
      <c r="F14" s="32"/>
      <c r="G14" s="26">
        <f>G13+E14-F14</f>
        <v>23840</v>
      </c>
      <c r="H14" s="33" t="s">
        <v>26</v>
      </c>
      <c r="I14" s="33">
        <v>0</v>
      </c>
    </row>
  </sheetData>
  <mergeCells count="3">
    <mergeCell ref="B6:C6"/>
    <mergeCell ref="B7:C7"/>
    <mergeCell ref="A10:B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22"/>
  <sheetViews>
    <sheetView topLeftCell="A7" workbookViewId="0">
      <selection activeCell="H21" sqref="H21"/>
    </sheetView>
  </sheetViews>
  <sheetFormatPr defaultRowHeight="14.4" x14ac:dyDescent="0.3"/>
  <cols>
    <col min="1" max="1" width="13" customWidth="1"/>
    <col min="2" max="2" width="11.6640625" customWidth="1"/>
    <col min="3" max="3" width="10.44140625" customWidth="1"/>
    <col min="4" max="4" width="10.88671875" customWidth="1"/>
    <col min="5" max="5" width="11.44140625" style="4" customWidth="1"/>
    <col min="6" max="6" width="12.33203125" style="4" customWidth="1"/>
    <col min="7" max="7" width="11.88671875" style="4" customWidth="1"/>
    <col min="8" max="8" width="29.6640625" customWidth="1"/>
    <col min="9" max="9" width="11.5546875" customWidth="1"/>
  </cols>
  <sheetData>
    <row r="1" spans="1:20" x14ac:dyDescent="0.3">
      <c r="A1" s="7" t="s">
        <v>6</v>
      </c>
      <c r="E1" s="8"/>
      <c r="F1" s="8"/>
      <c r="G1" s="8"/>
      <c r="H1" s="9"/>
      <c r="I1" s="10"/>
    </row>
    <row r="2" spans="1:20" x14ac:dyDescent="0.3">
      <c r="E2" s="11" t="s">
        <v>7</v>
      </c>
      <c r="F2" s="11"/>
      <c r="G2" s="8"/>
      <c r="H2" s="9"/>
      <c r="I2" s="10"/>
    </row>
    <row r="3" spans="1:20" x14ac:dyDescent="0.3">
      <c r="E3" s="11" t="s">
        <v>8</v>
      </c>
      <c r="F3" s="11"/>
      <c r="G3" s="8"/>
      <c r="H3" s="9"/>
      <c r="I3" s="10"/>
    </row>
    <row r="4" spans="1:20" x14ac:dyDescent="0.3">
      <c r="E4" s="11" t="s">
        <v>9</v>
      </c>
      <c r="F4" s="11"/>
      <c r="G4" s="8"/>
      <c r="H4" s="9"/>
      <c r="I4" s="10"/>
    </row>
    <row r="5" spans="1:20" x14ac:dyDescent="0.3">
      <c r="E5" s="11" t="s">
        <v>10</v>
      </c>
      <c r="F5" s="9"/>
      <c r="G5" s="8"/>
      <c r="H5" s="9"/>
      <c r="I5" s="10"/>
    </row>
    <row r="6" spans="1:20" ht="15.6" x14ac:dyDescent="0.3">
      <c r="A6" s="12" t="s">
        <v>11</v>
      </c>
      <c r="B6" s="43" t="s">
        <v>18</v>
      </c>
      <c r="C6" s="43"/>
      <c r="D6" s="2"/>
      <c r="E6" s="13"/>
      <c r="F6" s="13"/>
      <c r="G6" s="13"/>
      <c r="H6" s="2"/>
      <c r="I6" s="10"/>
    </row>
    <row r="7" spans="1:20" x14ac:dyDescent="0.3">
      <c r="A7" s="14" t="s">
        <v>0</v>
      </c>
      <c r="B7" s="44" t="s">
        <v>12</v>
      </c>
      <c r="C7" s="44"/>
      <c r="D7" s="2"/>
      <c r="E7" s="13"/>
      <c r="F7" s="13"/>
      <c r="G7" s="13"/>
      <c r="H7" s="2"/>
      <c r="I7" s="10"/>
    </row>
    <row r="8" spans="1:20" x14ac:dyDescent="0.3">
      <c r="A8" s="15"/>
      <c r="B8" s="16"/>
      <c r="C8" s="2"/>
      <c r="D8" s="2"/>
      <c r="E8" s="13"/>
      <c r="F8" s="13"/>
      <c r="G8" s="13"/>
      <c r="H8" s="2"/>
      <c r="I8" s="17"/>
      <c r="J8" s="9"/>
    </row>
    <row r="9" spans="1:20" x14ac:dyDescent="0.3">
      <c r="A9" s="18" t="s">
        <v>13</v>
      </c>
      <c r="B9" s="18" t="s">
        <v>14</v>
      </c>
      <c r="C9" s="18" t="s">
        <v>15</v>
      </c>
      <c r="D9" s="18" t="s">
        <v>1</v>
      </c>
      <c r="E9" s="19" t="s">
        <v>2</v>
      </c>
      <c r="F9" s="19" t="s">
        <v>16</v>
      </c>
      <c r="G9" s="19" t="s">
        <v>3</v>
      </c>
      <c r="H9" s="18" t="s">
        <v>17</v>
      </c>
      <c r="I9" s="18" t="s">
        <v>4</v>
      </c>
    </row>
    <row r="10" spans="1:20" x14ac:dyDescent="0.3">
      <c r="A10" s="45" t="s">
        <v>5</v>
      </c>
      <c r="B10" s="46"/>
      <c r="C10" s="1"/>
      <c r="D10" s="1"/>
      <c r="E10" s="3"/>
      <c r="F10" s="3"/>
      <c r="G10" s="3">
        <f>'JANUARY 2026'!G14</f>
        <v>23840</v>
      </c>
      <c r="H10" s="1"/>
      <c r="I10" s="1"/>
    </row>
    <row r="11" spans="1:20" x14ac:dyDescent="0.3">
      <c r="A11" s="33" t="s">
        <v>58</v>
      </c>
      <c r="B11" s="33">
        <v>8306</v>
      </c>
      <c r="C11" s="33"/>
      <c r="D11" s="34">
        <v>400</v>
      </c>
      <c r="E11" s="26">
        <v>5960</v>
      </c>
      <c r="F11" s="26"/>
      <c r="G11" s="26">
        <f>G10+E11-F11</f>
        <v>29800</v>
      </c>
      <c r="H11" s="33" t="s">
        <v>52</v>
      </c>
      <c r="I11" s="33">
        <v>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</row>
    <row r="12" spans="1:20" x14ac:dyDescent="0.3">
      <c r="A12" s="33" t="s">
        <v>58</v>
      </c>
      <c r="B12" s="20">
        <v>8310</v>
      </c>
      <c r="C12" s="20"/>
      <c r="D12" s="20">
        <v>400</v>
      </c>
      <c r="E12" s="21">
        <v>5960</v>
      </c>
      <c r="F12" s="21"/>
      <c r="G12" s="26">
        <f>G11+E12-F12</f>
        <v>35760</v>
      </c>
      <c r="H12" s="20" t="s">
        <v>53</v>
      </c>
      <c r="I12" s="20">
        <v>0</v>
      </c>
    </row>
    <row r="13" spans="1:20" s="5" customFormat="1" x14ac:dyDescent="0.3">
      <c r="A13" s="27" t="s">
        <v>58</v>
      </c>
      <c r="B13" s="27">
        <v>8394</v>
      </c>
      <c r="C13" s="27" t="s">
        <v>25</v>
      </c>
      <c r="D13" s="27"/>
      <c r="E13" s="25"/>
      <c r="F13" s="28">
        <v>11920</v>
      </c>
      <c r="G13" s="26">
        <f t="shared" ref="G13:G22" si="0">G12+E13-F13</f>
        <v>23840</v>
      </c>
      <c r="H13" s="23" t="s">
        <v>20</v>
      </c>
      <c r="I13" s="23"/>
    </row>
    <row r="14" spans="1:20" x14ac:dyDescent="0.3">
      <c r="A14" s="31" t="s">
        <v>59</v>
      </c>
      <c r="B14" s="31">
        <v>8600</v>
      </c>
      <c r="C14" s="31"/>
      <c r="D14" s="31">
        <v>400</v>
      </c>
      <c r="E14" s="26">
        <v>5960</v>
      </c>
      <c r="F14" s="32"/>
      <c r="G14" s="26">
        <f t="shared" si="0"/>
        <v>29800</v>
      </c>
      <c r="H14" s="33" t="s">
        <v>60</v>
      </c>
      <c r="I14" s="33">
        <v>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spans="1:20" x14ac:dyDescent="0.3">
      <c r="A15" s="31" t="s">
        <v>59</v>
      </c>
      <c r="B15" s="1">
        <v>8609</v>
      </c>
      <c r="C15" s="1"/>
      <c r="D15" s="1">
        <v>400</v>
      </c>
      <c r="E15" s="21">
        <v>5960</v>
      </c>
      <c r="F15" s="3"/>
      <c r="G15" s="26">
        <f t="shared" si="0"/>
        <v>35760</v>
      </c>
      <c r="H15" s="20" t="s">
        <v>52</v>
      </c>
      <c r="I15" s="1">
        <v>0</v>
      </c>
    </row>
    <row r="16" spans="1:20" x14ac:dyDescent="0.3">
      <c r="A16" s="27" t="s">
        <v>61</v>
      </c>
      <c r="B16" s="27">
        <v>8743</v>
      </c>
      <c r="C16" s="27" t="s">
        <v>25</v>
      </c>
      <c r="D16" s="27"/>
      <c r="E16" s="25"/>
      <c r="F16" s="28">
        <v>11920</v>
      </c>
      <c r="G16" s="26">
        <f t="shared" si="0"/>
        <v>23840</v>
      </c>
      <c r="H16" s="23" t="s">
        <v>20</v>
      </c>
      <c r="I16" s="27"/>
      <c r="J16" s="5"/>
      <c r="K16" s="5"/>
      <c r="L16" s="5"/>
      <c r="M16" s="5"/>
    </row>
    <row r="17" spans="1:13" s="22" customFormat="1" x14ac:dyDescent="0.3">
      <c r="A17" s="31" t="s">
        <v>62</v>
      </c>
      <c r="B17" s="31">
        <v>9026</v>
      </c>
      <c r="C17" s="31"/>
      <c r="D17" s="31">
        <v>400</v>
      </c>
      <c r="E17" s="32">
        <v>5960</v>
      </c>
      <c r="F17" s="32"/>
      <c r="G17" s="26">
        <f t="shared" si="0"/>
        <v>29800</v>
      </c>
      <c r="H17" s="31" t="s">
        <v>53</v>
      </c>
      <c r="I17" s="31">
        <v>0</v>
      </c>
    </row>
    <row r="18" spans="1:13" s="5" customFormat="1" x14ac:dyDescent="0.3">
      <c r="A18" s="27" t="s">
        <v>62</v>
      </c>
      <c r="B18" s="27">
        <v>9390</v>
      </c>
      <c r="C18" s="27" t="s">
        <v>25</v>
      </c>
      <c r="D18" s="27"/>
      <c r="E18" s="28"/>
      <c r="F18" s="28">
        <v>11920</v>
      </c>
      <c r="G18" s="25">
        <f t="shared" si="0"/>
        <v>17880</v>
      </c>
      <c r="H18" s="23" t="s">
        <v>20</v>
      </c>
      <c r="I18" s="27"/>
    </row>
    <row r="19" spans="1:13" s="22" customFormat="1" x14ac:dyDescent="0.3">
      <c r="A19" s="31" t="s">
        <v>63</v>
      </c>
      <c r="B19" s="31">
        <v>9196</v>
      </c>
      <c r="C19" s="31"/>
      <c r="D19" s="31">
        <v>400</v>
      </c>
      <c r="E19" s="32">
        <v>5960</v>
      </c>
      <c r="F19" s="32"/>
      <c r="G19" s="26">
        <f t="shared" si="0"/>
        <v>23840</v>
      </c>
      <c r="H19" s="31" t="s">
        <v>52</v>
      </c>
      <c r="I19" s="31">
        <v>0</v>
      </c>
    </row>
    <row r="20" spans="1:13" x14ac:dyDescent="0.3">
      <c r="A20" s="1" t="s">
        <v>64</v>
      </c>
      <c r="B20" s="31">
        <v>9335</v>
      </c>
      <c r="C20" s="27"/>
      <c r="D20" s="31">
        <v>400</v>
      </c>
      <c r="E20" s="32">
        <v>5960</v>
      </c>
      <c r="F20" s="28"/>
      <c r="G20" s="26">
        <f t="shared" si="0"/>
        <v>29800</v>
      </c>
      <c r="H20" s="31" t="s">
        <v>53</v>
      </c>
      <c r="I20" s="27"/>
      <c r="J20" s="5"/>
      <c r="K20" s="5"/>
      <c r="L20" s="5"/>
      <c r="M20" s="5"/>
    </row>
    <row r="21" spans="1:13" s="22" customFormat="1" x14ac:dyDescent="0.3">
      <c r="A21" s="31" t="s">
        <v>65</v>
      </c>
      <c r="B21" s="31">
        <v>9575</v>
      </c>
      <c r="C21" s="31"/>
      <c r="D21" s="31">
        <v>400</v>
      </c>
      <c r="E21" s="32">
        <v>5960</v>
      </c>
      <c r="F21" s="32"/>
      <c r="G21" s="26">
        <f t="shared" si="0"/>
        <v>35760</v>
      </c>
      <c r="H21" s="31" t="s">
        <v>68</v>
      </c>
      <c r="I21" s="31">
        <v>0</v>
      </c>
    </row>
    <row r="22" spans="1:13" s="5" customFormat="1" x14ac:dyDescent="0.3">
      <c r="A22" s="27" t="s">
        <v>67</v>
      </c>
      <c r="B22" s="27">
        <v>9618</v>
      </c>
      <c r="C22" s="27" t="s">
        <v>25</v>
      </c>
      <c r="D22" s="27"/>
      <c r="E22" s="28"/>
      <c r="F22" s="28">
        <v>11920</v>
      </c>
      <c r="G22" s="25">
        <f t="shared" si="0"/>
        <v>23840</v>
      </c>
      <c r="H22" s="27" t="s">
        <v>20</v>
      </c>
      <c r="I22" s="27"/>
    </row>
  </sheetData>
  <mergeCells count="3">
    <mergeCell ref="B6:C6"/>
    <mergeCell ref="B7:C7"/>
    <mergeCell ref="A10:B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27"/>
  <sheetViews>
    <sheetView workbookViewId="0">
      <selection sqref="A1:XFD1048576"/>
    </sheetView>
  </sheetViews>
  <sheetFormatPr defaultRowHeight="14.4" x14ac:dyDescent="0.3"/>
  <cols>
    <col min="1" max="1" width="25.88671875" bestFit="1" customWidth="1"/>
    <col min="2" max="2" width="11.6640625" customWidth="1"/>
    <col min="3" max="3" width="10.44140625" customWidth="1"/>
    <col min="4" max="4" width="10.88671875" style="4" customWidth="1"/>
    <col min="5" max="5" width="11.44140625" style="4" customWidth="1"/>
    <col min="6" max="6" width="12.33203125" style="4" customWidth="1"/>
    <col min="7" max="7" width="11.88671875" style="4" customWidth="1"/>
    <col min="8" max="8" width="29.6640625" style="4" customWidth="1"/>
    <col min="9" max="9" width="11.5546875" style="4" customWidth="1"/>
  </cols>
  <sheetData>
    <row r="1" spans="1:20" x14ac:dyDescent="0.3">
      <c r="A1" s="11" t="s">
        <v>7</v>
      </c>
      <c r="B1" s="11"/>
      <c r="C1" s="8"/>
      <c r="E1" s="8"/>
      <c r="F1" s="8"/>
      <c r="G1" s="8"/>
      <c r="H1" s="8"/>
      <c r="I1" s="41"/>
    </row>
    <row r="2" spans="1:20" x14ac:dyDescent="0.3">
      <c r="A2" s="11" t="s">
        <v>8</v>
      </c>
      <c r="B2" s="11"/>
      <c r="C2" s="8"/>
      <c r="H2" s="8"/>
      <c r="I2" s="41"/>
    </row>
    <row r="3" spans="1:20" x14ac:dyDescent="0.3">
      <c r="A3" s="11" t="s">
        <v>9</v>
      </c>
      <c r="B3" s="11"/>
      <c r="C3" s="8"/>
      <c r="H3" s="8"/>
      <c r="I3" s="41"/>
    </row>
    <row r="4" spans="1:20" x14ac:dyDescent="0.3">
      <c r="A4" s="11" t="s">
        <v>10</v>
      </c>
      <c r="B4" s="9"/>
      <c r="C4" s="8"/>
      <c r="H4" s="8"/>
      <c r="I4" s="41"/>
    </row>
    <row r="5" spans="1:20" x14ac:dyDescent="0.3">
      <c r="H5" s="8"/>
      <c r="I5" s="41"/>
    </row>
    <row r="6" spans="1:20" x14ac:dyDescent="0.3">
      <c r="A6" s="14" t="s">
        <v>0</v>
      </c>
      <c r="B6" s="44" t="s">
        <v>12</v>
      </c>
      <c r="C6" s="44"/>
      <c r="D6" s="13"/>
      <c r="E6" s="13"/>
      <c r="F6" s="13"/>
      <c r="G6" s="13"/>
      <c r="H6" s="13"/>
      <c r="I6" s="41"/>
    </row>
    <row r="7" spans="1:20" x14ac:dyDescent="0.3">
      <c r="A7" s="15"/>
      <c r="B7" s="16"/>
      <c r="C7" s="2"/>
      <c r="D7" s="13"/>
      <c r="E7" s="13"/>
      <c r="F7" s="13"/>
      <c r="G7" s="13"/>
      <c r="H7" s="13"/>
      <c r="I7" s="42"/>
      <c r="J7" s="9"/>
    </row>
    <row r="8" spans="1:20" x14ac:dyDescent="0.3">
      <c r="A8" s="18" t="s">
        <v>13</v>
      </c>
      <c r="B8" s="18" t="s">
        <v>14</v>
      </c>
      <c r="C8" s="18" t="s">
        <v>15</v>
      </c>
      <c r="D8" s="19" t="s">
        <v>1</v>
      </c>
      <c r="E8" s="19" t="s">
        <v>2</v>
      </c>
      <c r="F8" s="19" t="s">
        <v>16</v>
      </c>
      <c r="G8" s="19" t="s">
        <v>3</v>
      </c>
      <c r="H8" s="19" t="s">
        <v>17</v>
      </c>
      <c r="I8" s="19" t="s">
        <v>4</v>
      </c>
    </row>
    <row r="9" spans="1:20" x14ac:dyDescent="0.3">
      <c r="A9" s="45" t="s">
        <v>5</v>
      </c>
      <c r="B9" s="46"/>
      <c r="C9" s="1"/>
      <c r="D9" s="3"/>
      <c r="E9" s="3"/>
      <c r="F9" s="3"/>
      <c r="G9" s="3">
        <f>'FEBRUARY 2026'!G22</f>
        <v>23840</v>
      </c>
      <c r="H9" s="3"/>
      <c r="I9" s="3"/>
    </row>
    <row r="10" spans="1:20" x14ac:dyDescent="0.3">
      <c r="A10" s="33" t="s">
        <v>66</v>
      </c>
      <c r="B10" s="33">
        <v>9664</v>
      </c>
      <c r="C10" s="33"/>
      <c r="D10" s="21">
        <v>400</v>
      </c>
      <c r="E10" s="26">
        <v>5960</v>
      </c>
      <c r="F10" s="26"/>
      <c r="G10" s="26">
        <f>G9+E10-F10</f>
        <v>29800</v>
      </c>
      <c r="H10" s="21" t="s">
        <v>53</v>
      </c>
      <c r="I10" s="21"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spans="1:20" x14ac:dyDescent="0.3">
      <c r="A11" s="33" t="s">
        <v>69</v>
      </c>
      <c r="B11" s="20">
        <v>9854</v>
      </c>
      <c r="C11" s="20"/>
      <c r="D11" s="21">
        <v>400</v>
      </c>
      <c r="E11" s="21">
        <v>5960</v>
      </c>
      <c r="F11" s="21"/>
      <c r="G11" s="26">
        <f>G10+E11-F11</f>
        <v>35760</v>
      </c>
      <c r="H11" s="21" t="s">
        <v>52</v>
      </c>
      <c r="I11" s="21">
        <v>0</v>
      </c>
    </row>
    <row r="12" spans="1:20" s="22" customFormat="1" x14ac:dyDescent="0.3">
      <c r="A12" s="31" t="s">
        <v>70</v>
      </c>
      <c r="B12" s="31">
        <v>24</v>
      </c>
      <c r="C12" s="31"/>
      <c r="D12" s="3">
        <v>400</v>
      </c>
      <c r="E12" s="26">
        <v>5960</v>
      </c>
      <c r="F12" s="32"/>
      <c r="G12" s="26">
        <f>G11+E12-F12</f>
        <v>41720</v>
      </c>
      <c r="H12" s="21" t="s">
        <v>53</v>
      </c>
      <c r="I12" s="21">
        <v>0</v>
      </c>
    </row>
    <row r="13" spans="1:20" s="5" customFormat="1" x14ac:dyDescent="0.3">
      <c r="A13" s="27" t="s">
        <v>71</v>
      </c>
      <c r="B13" s="27">
        <v>121</v>
      </c>
      <c r="C13" s="27" t="s">
        <v>25</v>
      </c>
      <c r="D13" s="28"/>
      <c r="E13" s="25"/>
      <c r="F13" s="28">
        <v>11920</v>
      </c>
      <c r="G13" s="25">
        <f t="shared" ref="G13:G21" si="0">G12+E13-F13</f>
        <v>29800</v>
      </c>
      <c r="H13" s="25" t="s">
        <v>20</v>
      </c>
      <c r="I13" s="25"/>
    </row>
    <row r="14" spans="1:20" x14ac:dyDescent="0.3">
      <c r="A14" s="31" t="s">
        <v>72</v>
      </c>
      <c r="B14" s="1">
        <v>251</v>
      </c>
      <c r="C14" s="1"/>
      <c r="D14" s="3">
        <v>400</v>
      </c>
      <c r="E14" s="21">
        <v>5960</v>
      </c>
      <c r="F14" s="3"/>
      <c r="G14" s="26">
        <f t="shared" si="0"/>
        <v>35760</v>
      </c>
      <c r="H14" s="21" t="s">
        <v>53</v>
      </c>
      <c r="I14" s="3">
        <v>0</v>
      </c>
    </row>
    <row r="15" spans="1:20" s="5" customFormat="1" x14ac:dyDescent="0.3">
      <c r="A15" s="27" t="s">
        <v>73</v>
      </c>
      <c r="B15" s="27">
        <v>481</v>
      </c>
      <c r="C15" s="27" t="s">
        <v>25</v>
      </c>
      <c r="D15" s="28"/>
      <c r="E15" s="25"/>
      <c r="F15" s="28">
        <v>11920</v>
      </c>
      <c r="G15" s="25">
        <f t="shared" si="0"/>
        <v>23840</v>
      </c>
      <c r="H15" s="25" t="s">
        <v>20</v>
      </c>
      <c r="I15" s="28"/>
    </row>
    <row r="16" spans="1:20" x14ac:dyDescent="0.3">
      <c r="A16" s="31" t="s">
        <v>73</v>
      </c>
      <c r="B16" s="31">
        <v>496</v>
      </c>
      <c r="C16" s="31"/>
      <c r="D16" s="3">
        <f>500+191.5</f>
        <v>691.5</v>
      </c>
      <c r="E16" s="32">
        <v>10303.35</v>
      </c>
      <c r="F16" s="32"/>
      <c r="G16" s="26">
        <f t="shared" si="0"/>
        <v>34143.35</v>
      </c>
      <c r="H16" s="3" t="s">
        <v>52</v>
      </c>
      <c r="I16" s="3"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 spans="1:20" x14ac:dyDescent="0.3">
      <c r="A17" s="27" t="s">
        <v>75</v>
      </c>
      <c r="B17" s="27"/>
      <c r="C17" s="27" t="s">
        <v>25</v>
      </c>
      <c r="D17" s="28"/>
      <c r="E17" s="28"/>
      <c r="F17" s="28">
        <v>11920</v>
      </c>
      <c r="G17" s="25">
        <f t="shared" si="0"/>
        <v>22223.35</v>
      </c>
      <c r="H17" s="28" t="s">
        <v>20</v>
      </c>
      <c r="I17" s="3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</row>
    <row r="18" spans="1:20" x14ac:dyDescent="0.3">
      <c r="A18" s="31" t="s">
        <v>74</v>
      </c>
      <c r="B18" s="31">
        <v>790</v>
      </c>
      <c r="C18" s="31"/>
      <c r="D18" s="3">
        <v>200</v>
      </c>
      <c r="E18" s="32">
        <v>2980</v>
      </c>
      <c r="F18" s="32"/>
      <c r="G18" s="26">
        <f t="shared" si="0"/>
        <v>25203.35</v>
      </c>
      <c r="H18" s="3" t="s">
        <v>52</v>
      </c>
      <c r="I18" s="3">
        <v>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x14ac:dyDescent="0.3">
      <c r="A19" s="31" t="s">
        <v>74</v>
      </c>
      <c r="B19" s="31">
        <v>791</v>
      </c>
      <c r="C19" s="31"/>
      <c r="D19" s="3">
        <v>200</v>
      </c>
      <c r="E19" s="32">
        <v>2982</v>
      </c>
      <c r="F19" s="32"/>
      <c r="G19" s="26">
        <f t="shared" si="0"/>
        <v>28185.35</v>
      </c>
      <c r="H19" s="3" t="s">
        <v>53</v>
      </c>
      <c r="I19" s="3"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spans="1:20" s="5" customFormat="1" x14ac:dyDescent="0.3">
      <c r="A20" s="27" t="s">
        <v>78</v>
      </c>
      <c r="B20" s="27"/>
      <c r="C20" s="27" t="s">
        <v>25</v>
      </c>
      <c r="D20" s="28"/>
      <c r="E20" s="28"/>
      <c r="F20" s="28">
        <v>11920</v>
      </c>
      <c r="G20" s="25">
        <f t="shared" si="0"/>
        <v>16265.349999999999</v>
      </c>
      <c r="H20" s="28"/>
      <c r="I20" s="28"/>
    </row>
    <row r="21" spans="1:20" s="40" customFormat="1" ht="15.6" x14ac:dyDescent="0.3">
      <c r="A21" s="38" t="s">
        <v>76</v>
      </c>
      <c r="B21" s="38" t="s">
        <v>77</v>
      </c>
      <c r="C21" s="38"/>
      <c r="D21" s="39"/>
      <c r="E21" s="39"/>
      <c r="F21" s="39"/>
      <c r="G21" s="37">
        <f t="shared" si="0"/>
        <v>16265.349999999999</v>
      </c>
      <c r="H21" s="39"/>
      <c r="I21" s="39"/>
    </row>
    <row r="22" spans="1:20" x14ac:dyDescent="0.3">
      <c r="A22" s="31"/>
      <c r="B22" s="31"/>
      <c r="C22" s="31"/>
      <c r="D22" s="3"/>
      <c r="E22" s="32"/>
      <c r="F22" s="32"/>
      <c r="G22" s="26"/>
      <c r="H22" s="3"/>
      <c r="I22" s="3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spans="1:20" x14ac:dyDescent="0.3">
      <c r="A23" s="31"/>
      <c r="B23" s="31"/>
      <c r="C23" s="31"/>
      <c r="D23" s="3"/>
      <c r="E23" s="32"/>
      <c r="F23" s="32"/>
      <c r="G23" s="26"/>
      <c r="H23" s="3"/>
      <c r="I23" s="3"/>
      <c r="J23" s="22"/>
      <c r="K23" s="22"/>
      <c r="L23" s="22"/>
      <c r="M23" s="22"/>
      <c r="N23" s="22"/>
      <c r="O23" s="22"/>
      <c r="P23" s="22"/>
      <c r="Q23" s="22"/>
      <c r="R23" s="22"/>
    </row>
    <row r="24" spans="1:20" x14ac:dyDescent="0.3">
      <c r="A24" s="27"/>
      <c r="B24" s="27"/>
      <c r="C24" s="27"/>
      <c r="D24" s="28"/>
      <c r="E24" s="28"/>
      <c r="F24" s="28"/>
      <c r="G24" s="26"/>
      <c r="H24" s="28"/>
      <c r="I24" s="28"/>
    </row>
    <row r="25" spans="1:20" x14ac:dyDescent="0.3">
      <c r="A25" s="31"/>
      <c r="B25" s="31"/>
      <c r="C25" s="31"/>
      <c r="D25" s="3"/>
      <c r="E25" s="32"/>
      <c r="F25" s="32"/>
      <c r="G25" s="26"/>
      <c r="H25" s="3"/>
      <c r="I25" s="3"/>
      <c r="J25" s="22"/>
      <c r="K25" s="22"/>
      <c r="L25" s="22"/>
      <c r="M25" s="22"/>
      <c r="N25" s="22"/>
      <c r="O25" s="22"/>
      <c r="P25" s="22"/>
      <c r="Q25" s="22"/>
      <c r="R25" s="22"/>
    </row>
    <row r="26" spans="1:20" x14ac:dyDescent="0.3">
      <c r="A26" s="31"/>
      <c r="B26" s="31"/>
      <c r="C26" s="27"/>
      <c r="D26" s="3"/>
      <c r="E26" s="32"/>
      <c r="F26" s="28"/>
      <c r="G26" s="26"/>
      <c r="H26" s="3"/>
      <c r="I26" s="3"/>
    </row>
    <row r="27" spans="1:20" x14ac:dyDescent="0.3">
      <c r="A27" s="31"/>
      <c r="B27" s="27"/>
      <c r="C27" s="27"/>
      <c r="D27" s="28"/>
      <c r="E27" s="28"/>
      <c r="F27" s="28"/>
      <c r="G27" s="26"/>
      <c r="H27" s="28"/>
      <c r="I27" s="28"/>
    </row>
  </sheetData>
  <mergeCells count="2">
    <mergeCell ref="B6:C6"/>
    <mergeCell ref="A9:B9"/>
  </mergeCells>
  <phoneticPr fontId="6" type="noConversion"/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A6C21-C26A-4350-8FC5-2318D931356E}">
  <dimension ref="A1:T27"/>
  <sheetViews>
    <sheetView tabSelected="1" workbookViewId="0">
      <selection activeCell="H22" sqref="H22"/>
    </sheetView>
  </sheetViews>
  <sheetFormatPr defaultRowHeight="14.4" x14ac:dyDescent="0.3"/>
  <cols>
    <col min="1" max="1" width="25.88671875" bestFit="1" customWidth="1"/>
    <col min="2" max="2" width="11.6640625" customWidth="1"/>
    <col min="3" max="3" width="10.44140625" customWidth="1"/>
    <col min="4" max="4" width="10.88671875" style="4" customWidth="1"/>
    <col min="5" max="5" width="11.44140625" style="4" customWidth="1"/>
    <col min="6" max="6" width="12.33203125" style="4" customWidth="1"/>
    <col min="7" max="7" width="11.88671875" style="4" customWidth="1"/>
    <col min="8" max="8" width="29.6640625" style="4" customWidth="1"/>
    <col min="9" max="9" width="11.5546875" style="4" customWidth="1"/>
  </cols>
  <sheetData>
    <row r="1" spans="1:20" x14ac:dyDescent="0.3">
      <c r="A1" s="11" t="s">
        <v>7</v>
      </c>
      <c r="B1" s="11"/>
      <c r="C1" s="8"/>
      <c r="E1" s="8"/>
      <c r="F1" s="8"/>
      <c r="G1" s="8"/>
      <c r="H1" s="8"/>
      <c r="I1" s="41"/>
    </row>
    <row r="2" spans="1:20" x14ac:dyDescent="0.3">
      <c r="A2" s="11" t="s">
        <v>8</v>
      </c>
      <c r="B2" s="11"/>
      <c r="C2" s="8"/>
      <c r="H2" s="8"/>
      <c r="I2" s="41"/>
    </row>
    <row r="3" spans="1:20" x14ac:dyDescent="0.3">
      <c r="A3" s="11" t="s">
        <v>9</v>
      </c>
      <c r="B3" s="11"/>
      <c r="C3" s="8"/>
      <c r="H3" s="8"/>
      <c r="I3" s="41"/>
    </row>
    <row r="4" spans="1:20" x14ac:dyDescent="0.3">
      <c r="A4" s="11" t="s">
        <v>10</v>
      </c>
      <c r="B4" s="9"/>
      <c r="C4" s="8"/>
      <c r="H4" s="8"/>
      <c r="I4" s="41"/>
    </row>
    <row r="5" spans="1:20" x14ac:dyDescent="0.3">
      <c r="H5" s="8"/>
      <c r="I5" s="41"/>
    </row>
    <row r="6" spans="1:20" x14ac:dyDescent="0.3">
      <c r="A6" s="14" t="s">
        <v>0</v>
      </c>
      <c r="B6" s="44" t="s">
        <v>12</v>
      </c>
      <c r="C6" s="44"/>
      <c r="D6" s="13"/>
      <c r="E6" s="13"/>
      <c r="F6" s="13"/>
      <c r="G6" s="13"/>
      <c r="H6" s="13"/>
      <c r="I6" s="41"/>
    </row>
    <row r="7" spans="1:20" x14ac:dyDescent="0.3">
      <c r="A7" s="15"/>
      <c r="B7" s="16"/>
      <c r="C7" s="2"/>
      <c r="D7" s="13"/>
      <c r="E7" s="13"/>
      <c r="F7" s="13"/>
      <c r="G7" s="13"/>
      <c r="H7" s="13"/>
      <c r="I7" s="42"/>
      <c r="J7" s="9"/>
    </row>
    <row r="8" spans="1:20" x14ac:dyDescent="0.3">
      <c r="A8" s="18" t="s">
        <v>13</v>
      </c>
      <c r="B8" s="18" t="s">
        <v>14</v>
      </c>
      <c r="C8" s="18" t="s">
        <v>15</v>
      </c>
      <c r="D8" s="19" t="s">
        <v>1</v>
      </c>
      <c r="E8" s="19" t="s">
        <v>2</v>
      </c>
      <c r="F8" s="19" t="s">
        <v>16</v>
      </c>
      <c r="G8" s="19" t="s">
        <v>3</v>
      </c>
      <c r="H8" s="19" t="s">
        <v>17</v>
      </c>
      <c r="I8" s="19" t="s">
        <v>4</v>
      </c>
    </row>
    <row r="9" spans="1:20" x14ac:dyDescent="0.3">
      <c r="A9" s="45" t="s">
        <v>5</v>
      </c>
      <c r="B9" s="46"/>
      <c r="C9" s="1"/>
      <c r="D9" s="3"/>
      <c r="E9" s="3"/>
      <c r="F9" s="3"/>
      <c r="G9" s="3">
        <v>16265.35</v>
      </c>
      <c r="H9" s="3" t="s">
        <v>82</v>
      </c>
      <c r="I9" s="3"/>
    </row>
    <row r="10" spans="1:20" x14ac:dyDescent="0.3">
      <c r="A10" s="33" t="s">
        <v>79</v>
      </c>
      <c r="B10" s="33">
        <v>9664</v>
      </c>
      <c r="C10" s="33"/>
      <c r="D10" s="21">
        <v>150</v>
      </c>
      <c r="E10" s="26">
        <v>3550.5</v>
      </c>
      <c r="F10" s="26"/>
      <c r="G10" s="26">
        <f>G9+E10-F10</f>
        <v>19815.849999999999</v>
      </c>
      <c r="H10" s="21" t="s">
        <v>53</v>
      </c>
      <c r="I10" s="21"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</row>
    <row r="11" spans="1:20" x14ac:dyDescent="0.3">
      <c r="A11" s="33" t="s">
        <v>79</v>
      </c>
      <c r="B11" s="20">
        <v>9854</v>
      </c>
      <c r="C11" s="20"/>
      <c r="D11" s="21">
        <v>150</v>
      </c>
      <c r="E11" s="21">
        <v>3550.5</v>
      </c>
      <c r="F11" s="21"/>
      <c r="G11" s="26">
        <f>G10+E11-F11</f>
        <v>23366.35</v>
      </c>
      <c r="H11" s="21" t="s">
        <v>52</v>
      </c>
      <c r="I11" s="21">
        <v>0</v>
      </c>
    </row>
    <row r="12" spans="1:20" s="22" customFormat="1" x14ac:dyDescent="0.3">
      <c r="A12" s="31" t="s">
        <v>70</v>
      </c>
      <c r="B12" s="31">
        <v>24</v>
      </c>
      <c r="C12" s="31"/>
      <c r="D12" s="3"/>
      <c r="E12" s="26"/>
      <c r="F12" s="32"/>
      <c r="G12" s="26">
        <f>G11+E12-F12</f>
        <v>23366.35</v>
      </c>
      <c r="H12" s="21" t="s">
        <v>53</v>
      </c>
      <c r="I12" s="21">
        <v>0</v>
      </c>
    </row>
    <row r="13" spans="1:20" s="5" customFormat="1" x14ac:dyDescent="0.3">
      <c r="A13" s="27" t="s">
        <v>71</v>
      </c>
      <c r="B13" s="27">
        <v>121</v>
      </c>
      <c r="C13" s="27" t="s">
        <v>25</v>
      </c>
      <c r="D13" s="28"/>
      <c r="E13" s="25"/>
      <c r="F13" s="28"/>
      <c r="G13" s="25">
        <f t="shared" ref="G13:G21" si="0">G12+E13-F13</f>
        <v>23366.35</v>
      </c>
      <c r="H13" s="25" t="s">
        <v>20</v>
      </c>
      <c r="I13" s="25"/>
    </row>
    <row r="14" spans="1:20" x14ac:dyDescent="0.3">
      <c r="A14" s="31" t="s">
        <v>72</v>
      </c>
      <c r="B14" s="1">
        <v>251</v>
      </c>
      <c r="C14" s="1"/>
      <c r="D14" s="3"/>
      <c r="E14" s="21"/>
      <c r="F14" s="3"/>
      <c r="G14" s="26">
        <f t="shared" si="0"/>
        <v>23366.35</v>
      </c>
      <c r="H14" s="21" t="s">
        <v>53</v>
      </c>
      <c r="I14" s="3">
        <v>0</v>
      </c>
    </row>
    <row r="15" spans="1:20" s="5" customFormat="1" x14ac:dyDescent="0.3">
      <c r="A15" s="27" t="s">
        <v>73</v>
      </c>
      <c r="B15" s="27">
        <v>481</v>
      </c>
      <c r="C15" s="27" t="s">
        <v>25</v>
      </c>
      <c r="D15" s="28"/>
      <c r="E15" s="25"/>
      <c r="F15" s="28"/>
      <c r="G15" s="25">
        <f t="shared" si="0"/>
        <v>23366.35</v>
      </c>
      <c r="H15" s="25" t="s">
        <v>20</v>
      </c>
      <c r="I15" s="28"/>
    </row>
    <row r="16" spans="1:20" x14ac:dyDescent="0.3">
      <c r="A16" s="31" t="s">
        <v>73</v>
      </c>
      <c r="B16" s="31">
        <v>496</v>
      </c>
      <c r="C16" s="31"/>
      <c r="D16" s="3"/>
      <c r="E16" s="32"/>
      <c r="F16" s="32"/>
      <c r="G16" s="26">
        <f t="shared" si="0"/>
        <v>23366.35</v>
      </c>
      <c r="H16" s="3" t="s">
        <v>52</v>
      </c>
      <c r="I16" s="3">
        <v>0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</row>
    <row r="17" spans="1:20" x14ac:dyDescent="0.3">
      <c r="A17" s="27" t="s">
        <v>75</v>
      </c>
      <c r="B17" s="27"/>
      <c r="C17" s="27" t="s">
        <v>25</v>
      </c>
      <c r="D17" s="28"/>
      <c r="E17" s="28"/>
      <c r="F17" s="28"/>
      <c r="G17" s="25">
        <f t="shared" si="0"/>
        <v>23366.35</v>
      </c>
      <c r="H17" s="28" t="s">
        <v>20</v>
      </c>
      <c r="I17" s="3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</row>
    <row r="18" spans="1:20" x14ac:dyDescent="0.3">
      <c r="A18" s="31" t="s">
        <v>74</v>
      </c>
      <c r="B18" s="31">
        <v>790</v>
      </c>
      <c r="C18" s="31"/>
      <c r="D18" s="3"/>
      <c r="E18" s="32"/>
      <c r="F18" s="32"/>
      <c r="G18" s="26">
        <f t="shared" si="0"/>
        <v>23366.35</v>
      </c>
      <c r="H18" s="3" t="s">
        <v>52</v>
      </c>
      <c r="I18" s="3">
        <v>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x14ac:dyDescent="0.3">
      <c r="A19" s="31" t="s">
        <v>74</v>
      </c>
      <c r="B19" s="31">
        <v>791</v>
      </c>
      <c r="C19" s="31"/>
      <c r="D19" s="3"/>
      <c r="E19" s="32"/>
      <c r="F19" s="32"/>
      <c r="G19" s="26">
        <f t="shared" si="0"/>
        <v>23366.35</v>
      </c>
      <c r="H19" s="3" t="s">
        <v>53</v>
      </c>
      <c r="I19" s="3">
        <v>0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</row>
    <row r="20" spans="1:20" s="5" customFormat="1" x14ac:dyDescent="0.3">
      <c r="A20" s="27" t="s">
        <v>78</v>
      </c>
      <c r="B20" s="27"/>
      <c r="C20" s="27" t="s">
        <v>25</v>
      </c>
      <c r="D20" s="28"/>
      <c r="E20" s="28"/>
      <c r="F20" s="28"/>
      <c r="G20" s="25">
        <f t="shared" si="0"/>
        <v>23366.35</v>
      </c>
      <c r="H20" s="28" t="s">
        <v>81</v>
      </c>
      <c r="I20" s="28"/>
    </row>
    <row r="21" spans="1:20" s="40" customFormat="1" ht="15.6" x14ac:dyDescent="0.3">
      <c r="A21" s="38" t="s">
        <v>76</v>
      </c>
      <c r="B21" s="38" t="s">
        <v>77</v>
      </c>
      <c r="C21" s="38"/>
      <c r="D21" s="39"/>
      <c r="E21" s="39"/>
      <c r="F21" s="39"/>
      <c r="G21" s="37">
        <f t="shared" si="0"/>
        <v>23366.35</v>
      </c>
      <c r="H21" s="39" t="s">
        <v>83</v>
      </c>
      <c r="I21" s="39"/>
    </row>
    <row r="22" spans="1:20" x14ac:dyDescent="0.3">
      <c r="A22" s="27" t="s">
        <v>80</v>
      </c>
      <c r="B22" s="27"/>
      <c r="C22" s="27" t="s">
        <v>25</v>
      </c>
      <c r="D22" s="28"/>
      <c r="E22" s="28"/>
      <c r="F22" s="28"/>
      <c r="G22" s="25">
        <v>16265.35</v>
      </c>
      <c r="H22" s="28" t="s">
        <v>20</v>
      </c>
      <c r="I22" s="3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</row>
    <row r="23" spans="1:20" s="5" customFormat="1" x14ac:dyDescent="0.3">
      <c r="A23" s="27" t="s">
        <v>80</v>
      </c>
      <c r="B23" s="27" t="s">
        <v>77</v>
      </c>
      <c r="C23" s="27"/>
      <c r="D23" s="28"/>
      <c r="E23" s="28"/>
      <c r="F23" s="28"/>
      <c r="G23" s="25">
        <f>G21-G22</f>
        <v>7100.9999999999982</v>
      </c>
      <c r="H23" s="28" t="s">
        <v>83</v>
      </c>
      <c r="I23" s="28"/>
    </row>
    <row r="24" spans="1:20" x14ac:dyDescent="0.3">
      <c r="A24" s="27"/>
      <c r="B24" s="27"/>
      <c r="C24" s="27"/>
      <c r="D24" s="28"/>
      <c r="E24" s="28"/>
      <c r="F24" s="28"/>
      <c r="G24" s="26"/>
      <c r="H24" s="28"/>
      <c r="I24" s="28"/>
    </row>
    <row r="25" spans="1:20" x14ac:dyDescent="0.3">
      <c r="A25" s="31"/>
      <c r="B25" s="31"/>
      <c r="C25" s="31"/>
      <c r="D25" s="3"/>
      <c r="E25" s="32"/>
      <c r="F25" s="32"/>
      <c r="G25" s="26"/>
      <c r="H25" s="3"/>
      <c r="I25" s="3"/>
      <c r="J25" s="22"/>
      <c r="K25" s="22"/>
      <c r="L25" s="22"/>
      <c r="M25" s="22"/>
      <c r="N25" s="22"/>
      <c r="O25" s="22"/>
      <c r="P25" s="22"/>
      <c r="Q25" s="22"/>
      <c r="R25" s="22"/>
    </row>
    <row r="26" spans="1:20" x14ac:dyDescent="0.3">
      <c r="A26" s="31"/>
      <c r="B26" s="31"/>
      <c r="C26" s="27"/>
      <c r="D26" s="3"/>
      <c r="E26" s="32"/>
      <c r="F26" s="28"/>
      <c r="G26" s="26"/>
      <c r="H26" s="3"/>
      <c r="I26" s="3"/>
    </row>
    <row r="27" spans="1:20" x14ac:dyDescent="0.3">
      <c r="A27" s="31"/>
      <c r="B27" s="27"/>
      <c r="C27" s="27"/>
      <c r="D27" s="28"/>
      <c r="E27" s="28"/>
      <c r="F27" s="28"/>
      <c r="G27" s="26"/>
      <c r="H27" s="28"/>
      <c r="I27" s="28"/>
    </row>
  </sheetData>
  <mergeCells count="2">
    <mergeCell ref="B6:C6"/>
    <mergeCell ref="A9:B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JUNE</vt:lpstr>
      <vt:lpstr>JULY</vt:lpstr>
      <vt:lpstr>AUGUST</vt:lpstr>
      <vt:lpstr>SEPTEMBER</vt:lpstr>
      <vt:lpstr>JUNE 2025</vt:lpstr>
      <vt:lpstr>JULY 2025</vt:lpstr>
      <vt:lpstr>SEPTEMBER 2025</vt:lpstr>
      <vt:lpstr>JANUARY 2026</vt:lpstr>
      <vt:lpstr>FEBRUARY 2026</vt:lpstr>
      <vt:lpstr>MARCH 2026</vt:lpstr>
      <vt:lpstr>APRI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2024-06-03T08:21:56Z</cp:lastPrinted>
  <dcterms:created xsi:type="dcterms:W3CDTF">2023-10-27T18:53:38Z</dcterms:created>
  <dcterms:modified xsi:type="dcterms:W3CDTF">2026-05-06T12:18:16Z</dcterms:modified>
</cp:coreProperties>
</file>