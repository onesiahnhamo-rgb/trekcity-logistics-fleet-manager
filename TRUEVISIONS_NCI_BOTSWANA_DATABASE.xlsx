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OPERATIONS_LINK\"/>
    </mc:Choice>
  </mc:AlternateContent>
  <xr:revisionPtr revIDLastSave="0" documentId="13_ncr:1_{175C28B0-9778-4C25-8495-CA77933473CA}" xr6:coauthVersionLast="47" xr6:coauthVersionMax="47" xr10:uidLastSave="{00000000-0000-0000-0000-000000000000}"/>
  <bookViews>
    <workbookView xWindow="-108" yWindow="-108" windowWidth="23256" windowHeight="12456" activeTab="1" xr2:uid="{CCD36CFE-6B21-4BF2-9D75-A5E215E7E05B}"/>
  </bookViews>
  <sheets>
    <sheet name="MAY" sheetId="1" r:id="rId1"/>
    <sheet name="JU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2" l="1"/>
  <c r="H9" i="2"/>
  <c r="H6" i="2" l="1"/>
  <c r="H5" i="2"/>
  <c r="H4" i="2"/>
  <c r="H3" i="2"/>
  <c r="H2" i="2"/>
  <c r="H6" i="1"/>
  <c r="H5" i="1"/>
  <c r="H4" i="1"/>
  <c r="H3" i="1"/>
  <c r="H2" i="1"/>
</calcChain>
</file>

<file path=xl/sharedStrings.xml><?xml version="1.0" encoding="utf-8"?>
<sst xmlns="http://schemas.openxmlformats.org/spreadsheetml/2006/main" count="119" uniqueCount="44">
  <si>
    <t>Truck</t>
  </si>
  <si>
    <t>Client Name</t>
  </si>
  <si>
    <t>Route</t>
  </si>
  <si>
    <t>Loading Date</t>
  </si>
  <si>
    <t>Offloading Date</t>
  </si>
  <si>
    <t>Rate Charged-ZAR</t>
  </si>
  <si>
    <t>Offloaded Tonnages</t>
  </si>
  <si>
    <t>Expected Payment- ZAR</t>
  </si>
  <si>
    <t>Fuelled Amount-BWP</t>
  </si>
  <si>
    <t>NCI Invoice number</t>
  </si>
  <si>
    <t>Fuelling Date</t>
  </si>
  <si>
    <t>Payment Due Date</t>
  </si>
  <si>
    <t>B148BWZ</t>
  </si>
  <si>
    <t>Esmar Transport</t>
  </si>
  <si>
    <t>South Africa- Zimbabwe</t>
  </si>
  <si>
    <t>BW179528</t>
  </si>
  <si>
    <t>B906BWY</t>
  </si>
  <si>
    <t>BW179526</t>
  </si>
  <si>
    <t>Twin Tip Logistics</t>
  </si>
  <si>
    <t>BW179964</t>
  </si>
  <si>
    <t>BW179963</t>
  </si>
  <si>
    <t>Grain Train Logistics</t>
  </si>
  <si>
    <t>South Africa- Botswana</t>
  </si>
  <si>
    <t>Wiseman Freight Transporters</t>
  </si>
  <si>
    <t>BW181034/BW181229</t>
  </si>
  <si>
    <t>BWP181033/BWP181388</t>
  </si>
  <si>
    <t>2026/06/01 -PAID</t>
  </si>
  <si>
    <t>2026/06/01- PAID</t>
  </si>
  <si>
    <t>NCI</t>
  </si>
  <si>
    <t>pending</t>
  </si>
  <si>
    <t>PAID</t>
  </si>
  <si>
    <t>2026/06/03 - PAID</t>
  </si>
  <si>
    <t>2026/06/04 - PAID</t>
  </si>
  <si>
    <t>VERB-LOGISTIC</t>
  </si>
  <si>
    <t>Zim - SA</t>
  </si>
  <si>
    <t>SA - Zim</t>
  </si>
  <si>
    <t>18/06/2026</t>
  </si>
  <si>
    <t>17/06/2026</t>
  </si>
  <si>
    <t>Not yet due</t>
  </si>
  <si>
    <t>BW181034/181229</t>
  </si>
  <si>
    <t>BWP181033/P181388</t>
  </si>
  <si>
    <t>2026/07/17 - UNPAID</t>
  </si>
  <si>
    <t>21/06/2026</t>
  </si>
  <si>
    <t>2026/06/12 -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</si>
</sst>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_);\(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charset val="1"/>
      <scheme val="minor"/>
    </font>
    <font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164" fontId="3" fillId="0" borderId="2" xfId="1" applyFont="1" applyBorder="1"/>
    <xf numFmtId="0" fontId="0" fillId="0" borderId="3" xfId="0" applyBorder="1"/>
    <xf numFmtId="14" fontId="0" fillId="0" borderId="3" xfId="0" applyNumberFormat="1" applyBorder="1"/>
    <xf numFmtId="164" fontId="0" fillId="0" borderId="3" xfId="1" applyFont="1" applyBorder="1"/>
    <xf numFmtId="0" fontId="5" fillId="2" borderId="3" xfId="2" applyFont="1" applyFill="1" applyBorder="1" applyAlignment="1">
      <alignment horizontal="right"/>
    </xf>
    <xf numFmtId="14" fontId="0" fillId="0" borderId="3" xfId="1" applyNumberFormat="1" applyFont="1" applyBorder="1"/>
    <xf numFmtId="0" fontId="4" fillId="0" borderId="3" xfId="2" applyBorder="1" applyAlignment="1">
      <alignment horizontal="right"/>
    </xf>
    <xf numFmtId="164" fontId="0" fillId="0" borderId="3" xfId="1" applyFont="1" applyBorder="1" applyAlignment="1">
      <alignment horizontal="right"/>
    </xf>
    <xf numFmtId="14" fontId="0" fillId="0" borderId="3" xfId="1" applyNumberFormat="1" applyFont="1" applyBorder="1" applyAlignment="1">
      <alignment horizontal="right"/>
    </xf>
    <xf numFmtId="164" fontId="2" fillId="0" borderId="0" xfId="0" applyNumberFormat="1" applyFont="1"/>
    <xf numFmtId="0" fontId="3" fillId="0" borderId="4" xfId="0" applyFont="1" applyBorder="1"/>
    <xf numFmtId="14" fontId="6" fillId="0" borderId="5" xfId="0" applyNumberFormat="1" applyFont="1" applyBorder="1" applyAlignment="1">
      <alignment horizontal="left"/>
    </xf>
    <xf numFmtId="164" fontId="3" fillId="0" borderId="3" xfId="1" applyFont="1" applyFill="1" applyBorder="1"/>
    <xf numFmtId="0" fontId="7" fillId="0" borderId="3" xfId="0" applyFont="1" applyBorder="1"/>
    <xf numFmtId="0" fontId="3" fillId="0" borderId="2" xfId="0" applyFont="1" applyBorder="1" applyAlignment="1">
      <alignment horizontal="right"/>
    </xf>
    <xf numFmtId="14" fontId="0" fillId="0" borderId="3" xfId="0" applyNumberFormat="1" applyBorder="1" applyAlignment="1">
      <alignment horizontal="right"/>
    </xf>
    <xf numFmtId="0" fontId="0" fillId="0" borderId="0" xfId="0" applyAlignment="1">
      <alignment horizontal="right"/>
    </xf>
    <xf numFmtId="165" fontId="0" fillId="0" borderId="3" xfId="1" applyNumberFormat="1" applyFont="1" applyBorder="1" applyAlignment="1">
      <alignment horizontal="right"/>
    </xf>
    <xf numFmtId="164" fontId="3" fillId="0" borderId="2" xfId="1" applyFont="1" applyBorder="1" applyAlignment="1">
      <alignment horizontal="right"/>
    </xf>
  </cellXfs>
  <cellStyles count="4">
    <cellStyle name="Comma" xfId="1" builtinId="3"/>
    <cellStyle name="Comma 2" xfId="3" xr:uid="{F505720F-C5C8-4FC4-9BB8-62B3143F7C0B}"/>
    <cellStyle name="Normal" xfId="0" builtinId="0"/>
    <cellStyle name="Normal 2" xfId="2" xr:uid="{14BFEF6A-FCE1-4581-9DBE-6015981FF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4808-1A77-4B20-8211-B97C965E6F0C}">
  <sheetPr>
    <pageSetUpPr fitToPage="1"/>
  </sheetPr>
  <dimension ref="A1:M9"/>
  <sheetViews>
    <sheetView zoomScale="90" zoomScaleNormal="90" workbookViewId="0">
      <selection activeCell="H8" sqref="H8"/>
    </sheetView>
  </sheetViews>
  <sheetFormatPr defaultRowHeight="13.8"/>
  <cols>
    <col min="1" max="1" width="9.296875" bestFit="1" customWidth="1"/>
    <col min="2" max="2" width="26.59765625" bestFit="1" customWidth="1"/>
    <col min="3" max="3" width="21.19921875" bestFit="1" customWidth="1"/>
    <col min="4" max="4" width="12" bestFit="1" customWidth="1"/>
    <col min="5" max="5" width="14.296875" bestFit="1" customWidth="1"/>
    <col min="6" max="6" width="17.796875" bestFit="1" customWidth="1"/>
    <col min="8" max="8" width="22.796875" bestFit="1" customWidth="1"/>
    <col min="9" max="9" width="20.59765625" bestFit="1" customWidth="1"/>
    <col min="10" max="10" width="24.59765625" bestFit="1" customWidth="1"/>
    <col min="11" max="11" width="13.19921875" bestFit="1" customWidth="1"/>
    <col min="12" max="12" width="17.796875" bestFit="1" customWidth="1"/>
    <col min="14" max="14" width="11.3984375" customWidth="1"/>
    <col min="15" max="15" width="16.796875" bestFit="1" customWidth="1"/>
  </cols>
  <sheetData>
    <row r="1" spans="1:13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3" t="s">
        <v>11</v>
      </c>
      <c r="M1" s="15" t="s">
        <v>28</v>
      </c>
    </row>
    <row r="2" spans="1:13" ht="14.4">
      <c r="A2" s="4" t="s">
        <v>12</v>
      </c>
      <c r="B2" s="4" t="s">
        <v>13</v>
      </c>
      <c r="C2" s="4" t="s">
        <v>14</v>
      </c>
      <c r="D2" s="5">
        <v>46141</v>
      </c>
      <c r="E2" s="5">
        <v>46146</v>
      </c>
      <c r="F2" s="6">
        <v>1400</v>
      </c>
      <c r="G2" s="6">
        <v>35.4</v>
      </c>
      <c r="H2" s="6">
        <f>G2*F2</f>
        <v>49560</v>
      </c>
      <c r="I2" s="6">
        <v>19682.68</v>
      </c>
      <c r="J2" s="7" t="s">
        <v>15</v>
      </c>
      <c r="K2" s="8">
        <v>46144</v>
      </c>
      <c r="L2" s="14" t="s">
        <v>26</v>
      </c>
      <c r="M2" s="4" t="s">
        <v>30</v>
      </c>
    </row>
    <row r="3" spans="1:13" ht="14.4">
      <c r="A3" s="4" t="s">
        <v>16</v>
      </c>
      <c r="B3" s="4" t="s">
        <v>13</v>
      </c>
      <c r="C3" s="4" t="s">
        <v>14</v>
      </c>
      <c r="D3" s="5">
        <v>46141</v>
      </c>
      <c r="E3" s="5">
        <v>46146</v>
      </c>
      <c r="F3" s="6">
        <v>1400</v>
      </c>
      <c r="G3" s="6">
        <v>34.020000000000003</v>
      </c>
      <c r="H3" s="6">
        <f t="shared" ref="H3:H6" si="0">G3*F3</f>
        <v>47628.000000000007</v>
      </c>
      <c r="I3" s="6">
        <v>19800</v>
      </c>
      <c r="J3" s="7" t="s">
        <v>17</v>
      </c>
      <c r="K3" s="8">
        <v>46144</v>
      </c>
      <c r="L3" s="14" t="s">
        <v>27</v>
      </c>
      <c r="M3" s="4" t="s">
        <v>30</v>
      </c>
    </row>
    <row r="4" spans="1:13" ht="14.4">
      <c r="A4" s="4" t="s">
        <v>12</v>
      </c>
      <c r="B4" s="4" t="s">
        <v>18</v>
      </c>
      <c r="C4" s="4" t="s">
        <v>14</v>
      </c>
      <c r="D4" s="5">
        <v>46148</v>
      </c>
      <c r="E4" s="5">
        <v>46152</v>
      </c>
      <c r="F4" s="6">
        <v>1400</v>
      </c>
      <c r="G4" s="6">
        <v>35.700000000000003</v>
      </c>
      <c r="H4" s="6">
        <f t="shared" si="0"/>
        <v>49980.000000000007</v>
      </c>
      <c r="I4" s="6">
        <v>18562.5</v>
      </c>
      <c r="J4" s="7" t="s">
        <v>19</v>
      </c>
      <c r="K4" s="8">
        <v>46149</v>
      </c>
      <c r="L4" s="14" t="s">
        <v>31</v>
      </c>
      <c r="M4" s="4" t="s">
        <v>30</v>
      </c>
    </row>
    <row r="5" spans="1:13">
      <c r="A5" s="4" t="s">
        <v>16</v>
      </c>
      <c r="B5" s="4" t="s">
        <v>18</v>
      </c>
      <c r="C5" s="4" t="s">
        <v>14</v>
      </c>
      <c r="D5" s="5">
        <v>46148</v>
      </c>
      <c r="E5" s="5">
        <v>46152</v>
      </c>
      <c r="F5" s="6">
        <v>1400</v>
      </c>
      <c r="G5" s="6">
        <v>35.72</v>
      </c>
      <c r="H5" s="6">
        <f t="shared" si="0"/>
        <v>50008</v>
      </c>
      <c r="I5" s="6">
        <v>18562.5</v>
      </c>
      <c r="J5" s="9" t="s">
        <v>20</v>
      </c>
      <c r="K5" s="8">
        <v>46149</v>
      </c>
      <c r="L5" s="14" t="s">
        <v>31</v>
      </c>
      <c r="M5" s="4" t="s">
        <v>30</v>
      </c>
    </row>
    <row r="6" spans="1:13">
      <c r="A6" s="4" t="s">
        <v>12</v>
      </c>
      <c r="B6" s="4" t="s">
        <v>21</v>
      </c>
      <c r="C6" s="4" t="s">
        <v>22</v>
      </c>
      <c r="D6" s="5">
        <v>46155</v>
      </c>
      <c r="E6" s="5">
        <v>46158</v>
      </c>
      <c r="F6" s="6">
        <v>900</v>
      </c>
      <c r="G6" s="6">
        <v>35.380000000000003</v>
      </c>
      <c r="H6" s="6">
        <f t="shared" si="0"/>
        <v>31842.000000000004</v>
      </c>
      <c r="I6" s="6">
        <v>0</v>
      </c>
      <c r="J6" s="10">
        <v>0</v>
      </c>
      <c r="K6" s="6">
        <v>0</v>
      </c>
      <c r="L6" s="6">
        <v>0</v>
      </c>
      <c r="M6" s="6">
        <v>0</v>
      </c>
    </row>
    <row r="7" spans="1:13">
      <c r="A7" s="4" t="s">
        <v>16</v>
      </c>
      <c r="B7" s="4" t="s">
        <v>23</v>
      </c>
      <c r="C7" s="4" t="s">
        <v>14</v>
      </c>
      <c r="D7" s="5">
        <v>46164</v>
      </c>
      <c r="E7" s="5">
        <v>46169</v>
      </c>
      <c r="F7" s="10">
        <v>1800</v>
      </c>
      <c r="G7" s="10">
        <v>36.1</v>
      </c>
      <c r="H7" s="6">
        <v>64980</v>
      </c>
      <c r="I7" s="6">
        <v>22275</v>
      </c>
      <c r="J7" s="10" t="s">
        <v>24</v>
      </c>
      <c r="K7" s="11">
        <v>46163</v>
      </c>
      <c r="L7" s="14" t="s">
        <v>32</v>
      </c>
      <c r="M7" s="4" t="s">
        <v>30</v>
      </c>
    </row>
    <row r="8" spans="1:13">
      <c r="A8" s="4" t="s">
        <v>12</v>
      </c>
      <c r="B8" s="4" t="s">
        <v>18</v>
      </c>
      <c r="C8" s="4" t="s">
        <v>14</v>
      </c>
      <c r="D8" s="5">
        <v>46167</v>
      </c>
      <c r="E8" s="5">
        <v>46169</v>
      </c>
      <c r="F8" s="6">
        <v>1400</v>
      </c>
      <c r="G8" s="6">
        <v>36.04</v>
      </c>
      <c r="H8" s="6">
        <v>50456</v>
      </c>
      <c r="I8" s="6">
        <v>21037.5</v>
      </c>
      <c r="J8" s="10" t="s">
        <v>25</v>
      </c>
      <c r="K8" s="8">
        <v>46167</v>
      </c>
      <c r="L8" s="14">
        <v>46185</v>
      </c>
      <c r="M8" s="4" t="s">
        <v>29</v>
      </c>
    </row>
    <row r="9" spans="1:13">
      <c r="H9" s="12"/>
      <c r="I9" s="12"/>
    </row>
  </sheetData>
  <pageMargins left="0.7" right="0.7" top="0.75" bottom="0.75" header="0.3" footer="0.3"/>
  <pageSetup scale="5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936B-829E-4CDF-BAE7-0690442F8AF3}">
  <dimension ref="A1:M10"/>
  <sheetViews>
    <sheetView tabSelected="1" topLeftCell="C1" zoomScale="90" zoomScaleNormal="90" workbookViewId="0">
      <selection activeCell="H19" sqref="H19"/>
    </sheetView>
  </sheetViews>
  <sheetFormatPr defaultRowHeight="13.8"/>
  <cols>
    <col min="1" max="1" width="9.5" customWidth="1"/>
    <col min="2" max="2" width="26.09765625" bestFit="1" customWidth="1"/>
    <col min="3" max="3" width="8.09765625" bestFit="1" customWidth="1"/>
    <col min="4" max="4" width="11.19921875" style="19" bestFit="1" customWidth="1"/>
    <col min="5" max="5" width="13.3984375" bestFit="1" customWidth="1"/>
    <col min="6" max="6" width="16.3984375" bestFit="1" customWidth="1"/>
    <col min="7" max="7" width="18" bestFit="1" customWidth="1"/>
    <col min="8" max="8" width="21.09765625" bestFit="1" customWidth="1"/>
    <col min="9" max="9" width="19.19921875" bestFit="1" customWidth="1"/>
    <col min="10" max="10" width="20.69921875" bestFit="1" customWidth="1"/>
    <col min="11" max="11" width="12.3984375" style="19" bestFit="1" customWidth="1"/>
    <col min="12" max="12" width="19" bestFit="1" customWidth="1"/>
    <col min="13" max="13" width="10.19921875" bestFit="1" customWidth="1"/>
  </cols>
  <sheetData>
    <row r="1" spans="1:13" ht="14.4">
      <c r="A1" s="1" t="s">
        <v>0</v>
      </c>
      <c r="B1" s="2" t="s">
        <v>1</v>
      </c>
      <c r="C1" s="2" t="s">
        <v>2</v>
      </c>
      <c r="D1" s="17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1" t="s">
        <v>10</v>
      </c>
      <c r="L1" s="13" t="s">
        <v>11</v>
      </c>
      <c r="M1" s="15" t="s">
        <v>28</v>
      </c>
    </row>
    <row r="2" spans="1:13" ht="14.4">
      <c r="A2" s="4" t="s">
        <v>12</v>
      </c>
      <c r="B2" s="4" t="s">
        <v>13</v>
      </c>
      <c r="C2" s="4" t="s">
        <v>35</v>
      </c>
      <c r="D2" s="18">
        <v>46141</v>
      </c>
      <c r="E2" s="5">
        <v>46146</v>
      </c>
      <c r="F2" s="6">
        <v>1400</v>
      </c>
      <c r="G2" s="6">
        <v>35.4</v>
      </c>
      <c r="H2" s="6">
        <f>G2*F2</f>
        <v>49560</v>
      </c>
      <c r="I2" s="6">
        <v>19682.68</v>
      </c>
      <c r="J2" s="7" t="s">
        <v>15</v>
      </c>
      <c r="K2" s="11">
        <v>46144</v>
      </c>
      <c r="L2" s="14" t="s">
        <v>26</v>
      </c>
      <c r="M2" s="16" t="s">
        <v>30</v>
      </c>
    </row>
    <row r="3" spans="1:13" ht="14.4">
      <c r="A3" s="4" t="s">
        <v>16</v>
      </c>
      <c r="B3" s="4" t="s">
        <v>13</v>
      </c>
      <c r="C3" s="4" t="s">
        <v>35</v>
      </c>
      <c r="D3" s="18">
        <v>46141</v>
      </c>
      <c r="E3" s="5">
        <v>46146</v>
      </c>
      <c r="F3" s="6">
        <v>1400</v>
      </c>
      <c r="G3" s="6">
        <v>34.020000000000003</v>
      </c>
      <c r="H3" s="6">
        <f t="shared" ref="H3:H6" si="0">G3*F3</f>
        <v>47628.000000000007</v>
      </c>
      <c r="I3" s="6">
        <v>19800</v>
      </c>
      <c r="J3" s="7" t="s">
        <v>17</v>
      </c>
      <c r="K3" s="11">
        <v>46144</v>
      </c>
      <c r="L3" s="14" t="s">
        <v>27</v>
      </c>
      <c r="M3" s="16" t="s">
        <v>30</v>
      </c>
    </row>
    <row r="4" spans="1:13" ht="14.4">
      <c r="A4" s="4" t="s">
        <v>12</v>
      </c>
      <c r="B4" s="4" t="s">
        <v>18</v>
      </c>
      <c r="C4" s="4" t="s">
        <v>35</v>
      </c>
      <c r="D4" s="18">
        <v>46148</v>
      </c>
      <c r="E4" s="5">
        <v>46152</v>
      </c>
      <c r="F4" s="6">
        <v>1400</v>
      </c>
      <c r="G4" s="6">
        <v>35.700000000000003</v>
      </c>
      <c r="H4" s="6">
        <f t="shared" si="0"/>
        <v>49980.000000000007</v>
      </c>
      <c r="I4" s="6">
        <v>18562.5</v>
      </c>
      <c r="J4" s="7" t="s">
        <v>19</v>
      </c>
      <c r="K4" s="11">
        <v>46149</v>
      </c>
      <c r="L4" s="14" t="s">
        <v>31</v>
      </c>
      <c r="M4" s="16" t="s">
        <v>30</v>
      </c>
    </row>
    <row r="5" spans="1:13">
      <c r="A5" s="4" t="s">
        <v>16</v>
      </c>
      <c r="B5" s="4" t="s">
        <v>18</v>
      </c>
      <c r="C5" s="4" t="s">
        <v>35</v>
      </c>
      <c r="D5" s="18">
        <v>46148</v>
      </c>
      <c r="E5" s="5">
        <v>46152</v>
      </c>
      <c r="F5" s="6">
        <v>1400</v>
      </c>
      <c r="G5" s="6">
        <v>35.72</v>
      </c>
      <c r="H5" s="6">
        <f t="shared" si="0"/>
        <v>50008</v>
      </c>
      <c r="I5" s="6">
        <v>18562.5</v>
      </c>
      <c r="J5" s="9" t="s">
        <v>20</v>
      </c>
      <c r="K5" s="11">
        <v>46149</v>
      </c>
      <c r="L5" s="14" t="s">
        <v>31</v>
      </c>
      <c r="M5" s="16" t="s">
        <v>30</v>
      </c>
    </row>
    <row r="6" spans="1:13">
      <c r="A6" s="4" t="s">
        <v>12</v>
      </c>
      <c r="B6" s="4" t="s">
        <v>21</v>
      </c>
      <c r="C6" s="4" t="s">
        <v>35</v>
      </c>
      <c r="D6" s="18">
        <v>46155</v>
      </c>
      <c r="E6" s="5">
        <v>46158</v>
      </c>
      <c r="F6" s="6">
        <v>900</v>
      </c>
      <c r="G6" s="6">
        <v>35.380000000000003</v>
      </c>
      <c r="H6" s="6">
        <f t="shared" si="0"/>
        <v>31842.000000000004</v>
      </c>
      <c r="I6" s="6">
        <v>0</v>
      </c>
      <c r="J6" s="10">
        <v>0</v>
      </c>
      <c r="K6" s="10">
        <v>0</v>
      </c>
      <c r="L6" s="6">
        <v>0</v>
      </c>
      <c r="M6" s="6">
        <v>0</v>
      </c>
    </row>
    <row r="7" spans="1:13">
      <c r="A7" s="4" t="s">
        <v>16</v>
      </c>
      <c r="B7" s="4" t="s">
        <v>23</v>
      </c>
      <c r="C7" s="4" t="s">
        <v>35</v>
      </c>
      <c r="D7" s="18">
        <v>46164</v>
      </c>
      <c r="E7" s="5">
        <v>46169</v>
      </c>
      <c r="F7" s="10">
        <v>1800</v>
      </c>
      <c r="G7" s="10">
        <v>36.1</v>
      </c>
      <c r="H7" s="6">
        <v>64980</v>
      </c>
      <c r="I7" s="6">
        <v>22275</v>
      </c>
      <c r="J7" s="10" t="s">
        <v>39</v>
      </c>
      <c r="K7" s="11">
        <v>46163</v>
      </c>
      <c r="L7" s="14" t="s">
        <v>32</v>
      </c>
      <c r="M7" s="16" t="s">
        <v>30</v>
      </c>
    </row>
    <row r="8" spans="1:13">
      <c r="A8" s="4" t="s">
        <v>12</v>
      </c>
      <c r="B8" s="4" t="s">
        <v>18</v>
      </c>
      <c r="C8" s="4" t="s">
        <v>35</v>
      </c>
      <c r="D8" s="18">
        <v>46167</v>
      </c>
      <c r="E8" s="5">
        <v>46169</v>
      </c>
      <c r="F8" s="6">
        <v>1400</v>
      </c>
      <c r="G8" s="6">
        <v>36.04</v>
      </c>
      <c r="H8" s="6">
        <v>50456</v>
      </c>
      <c r="I8" s="6">
        <v>21037.5</v>
      </c>
      <c r="J8" s="10" t="s">
        <v>40</v>
      </c>
      <c r="K8" s="11">
        <v>46167</v>
      </c>
      <c r="L8" s="14" t="s">
        <v>43</v>
      </c>
      <c r="M8" s="16" t="s">
        <v>30</v>
      </c>
    </row>
    <row r="9" spans="1:13">
      <c r="A9" s="4" t="s">
        <v>12</v>
      </c>
      <c r="B9" s="4" t="s">
        <v>33</v>
      </c>
      <c r="C9" s="4" t="s">
        <v>34</v>
      </c>
      <c r="D9" s="18" t="s">
        <v>36</v>
      </c>
      <c r="E9" s="18" t="s">
        <v>42</v>
      </c>
      <c r="F9" s="6">
        <v>1646.05</v>
      </c>
      <c r="G9" s="6">
        <v>33.35</v>
      </c>
      <c r="H9" s="6">
        <f>G9*F9</f>
        <v>54895.767500000002</v>
      </c>
      <c r="I9" s="6">
        <v>9329</v>
      </c>
      <c r="J9" s="20">
        <v>18113</v>
      </c>
      <c r="K9" s="11" t="s">
        <v>37</v>
      </c>
      <c r="L9" s="14" t="s">
        <v>41</v>
      </c>
      <c r="M9" s="4" t="s">
        <v>38</v>
      </c>
    </row>
    <row r="10" spans="1:13">
      <c r="A10" s="4" t="s">
        <v>16</v>
      </c>
      <c r="B10" s="4" t="s">
        <v>33</v>
      </c>
      <c r="C10" s="4" t="s">
        <v>34</v>
      </c>
      <c r="D10" s="18" t="s">
        <v>36</v>
      </c>
      <c r="E10" s="18" t="s">
        <v>42</v>
      </c>
      <c r="F10" s="6">
        <v>1646.05</v>
      </c>
      <c r="G10" s="6">
        <v>32.9</v>
      </c>
      <c r="H10" s="6">
        <f>G10*F10</f>
        <v>54155.044999999998</v>
      </c>
      <c r="I10" s="6">
        <v>8838</v>
      </c>
      <c r="J10" s="20">
        <v>18118</v>
      </c>
      <c r="K10" s="11" t="s">
        <v>37</v>
      </c>
      <c r="L10" s="14" t="s">
        <v>41</v>
      </c>
      <c r="M10" s="4" t="s">
        <v>38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</vt:lpstr>
      <vt:lpstr>JUNE</vt:lpstr>
    </vt:vector>
  </TitlesOfParts>
  <Company>WUC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Otlogetswe</dc:creator>
  <cp:lastModifiedBy>USER</cp:lastModifiedBy>
  <cp:lastPrinted>2026-05-28T09:21:13Z</cp:lastPrinted>
  <dcterms:created xsi:type="dcterms:W3CDTF">2026-05-28T08:46:41Z</dcterms:created>
  <dcterms:modified xsi:type="dcterms:W3CDTF">2026-06-22T18:51:44Z</dcterms:modified>
</cp:coreProperties>
</file>