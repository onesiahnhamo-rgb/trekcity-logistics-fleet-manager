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OPERATIONS_LINK\"/>
    </mc:Choice>
  </mc:AlternateContent>
  <xr:revisionPtr revIDLastSave="0" documentId="13_ncr:1_{B0063F6A-0E44-4169-B79F-8C3DB84334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" l="1"/>
  <c r="N10" i="1" l="1"/>
  <c r="N11" i="1"/>
  <c r="N6" i="1"/>
  <c r="N9" i="1"/>
  <c r="N4" i="1"/>
  <c r="N5" i="1"/>
  <c r="N3" i="1"/>
  <c r="N2" i="1"/>
</calcChain>
</file>

<file path=xl/sharedStrings.xml><?xml version="1.0" encoding="utf-8"?>
<sst xmlns="http://schemas.openxmlformats.org/spreadsheetml/2006/main" count="74" uniqueCount="33">
  <si>
    <t>Client Name</t>
  </si>
  <si>
    <t>Payment Due Date</t>
  </si>
  <si>
    <t>Route</t>
  </si>
  <si>
    <t>Fuelled Amount-BWP</t>
  </si>
  <si>
    <t>Offloading Date</t>
  </si>
  <si>
    <t>Loading Date</t>
  </si>
  <si>
    <t>Offloaded Tonnages</t>
  </si>
  <si>
    <t>Fuelling Date</t>
  </si>
  <si>
    <t>Border Fees-BWP</t>
  </si>
  <si>
    <t>Truck</t>
  </si>
  <si>
    <t>Wash/Data/Truck Stop</t>
  </si>
  <si>
    <t>Profit</t>
  </si>
  <si>
    <t>B131BYN</t>
  </si>
  <si>
    <t>B183BYN</t>
  </si>
  <si>
    <t>TILEMATE</t>
  </si>
  <si>
    <t>Lobatse - Gaborone</t>
  </si>
  <si>
    <t>16/06/2026</t>
  </si>
  <si>
    <t>Rate Charged-BWP</t>
  </si>
  <si>
    <t>Expected Payment- BWP</t>
  </si>
  <si>
    <t>17/06/2026</t>
  </si>
  <si>
    <t>18/06/2026</t>
  </si>
  <si>
    <t>Lobatse - Letlhakane</t>
  </si>
  <si>
    <t>19/20/2026</t>
  </si>
  <si>
    <t>19/06/2026</t>
  </si>
  <si>
    <t>20/06/2026</t>
  </si>
  <si>
    <t>KEMPSTON</t>
  </si>
  <si>
    <t>SA - Zim</t>
  </si>
  <si>
    <t>23/06/2026</t>
  </si>
  <si>
    <t>Rate Charged-ZAR</t>
  </si>
  <si>
    <t>Expected Payment- ZAR</t>
  </si>
  <si>
    <t xml:space="preserve"> Receipt number</t>
  </si>
  <si>
    <t>Receipt number</t>
  </si>
  <si>
    <t>30/07/2026-UNPAID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</si>
</sst>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</cellStyleXfs>
  <cellXfs count="18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" xfId="0" applyBorder="1"/>
    <xf numFmtId="14" fontId="0" fillId="0" borderId="1" xfId="0" applyNumberFormat="1" applyBorder="1"/>
    <xf numFmtId="0" fontId="3" fillId="0" borderId="3" xfId="0" applyFont="1" applyBorder="1"/>
    <xf numFmtId="43" fontId="0" fillId="0" borderId="0" xfId="1" applyFont="1"/>
    <xf numFmtId="43" fontId="3" fillId="0" borderId="3" xfId="1" applyFont="1" applyBorder="1"/>
    <xf numFmtId="43" fontId="1" fillId="0" borderId="3" xfId="1" applyFont="1" applyBorder="1"/>
    <xf numFmtId="43" fontId="1" fillId="0" borderId="5" xfId="1" applyFont="1" applyBorder="1"/>
    <xf numFmtId="43" fontId="0" fillId="0" borderId="1" xfId="1" applyFont="1" applyBorder="1"/>
    <xf numFmtId="43" fontId="0" fillId="0" borderId="1" xfId="1" applyFont="1" applyBorder="1" applyAlignment="1">
      <alignment horizontal="right"/>
    </xf>
    <xf numFmtId="14" fontId="2" fillId="0" borderId="1" xfId="0" applyNumberFormat="1" applyFont="1" applyBorder="1" applyAlignment="1">
      <alignment horizontal="left"/>
    </xf>
    <xf numFmtId="43" fontId="6" fillId="2" borderId="1" xfId="1" applyFont="1" applyFill="1" applyBorder="1" applyAlignment="1">
      <alignment horizontal="right"/>
    </xf>
    <xf numFmtId="37" fontId="1" fillId="0" borderId="3" xfId="1" applyNumberFormat="1" applyFont="1" applyBorder="1"/>
    <xf numFmtId="37" fontId="6" fillId="2" borderId="1" xfId="1" applyNumberFormat="1" applyFont="1" applyFill="1" applyBorder="1" applyAlignment="1">
      <alignment horizontal="right"/>
    </xf>
    <xf numFmtId="37" fontId="0" fillId="0" borderId="0" xfId="1" applyNumberFormat="1" applyFont="1"/>
  </cellXfs>
  <cellStyles count="4">
    <cellStyle name="Comma" xfId="1" builtinId="3"/>
    <cellStyle name="Comma 2" xfId="3" xr:uid="{5A2980FC-9065-4F4C-88F7-DEA5815A04EA}"/>
    <cellStyle name="Normal" xfId="0" builtinId="0"/>
    <cellStyle name="Normal 2" xfId="2" xr:uid="{B26FC7D0-4A3B-4366-9EC7-4E70FD716E7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="80" zoomScaleNormal="80" workbookViewId="0">
      <selection sqref="A1:XFD1048576"/>
    </sheetView>
  </sheetViews>
  <sheetFormatPr defaultColWidth="13.5546875" defaultRowHeight="14.4" x14ac:dyDescent="0.3"/>
  <cols>
    <col min="1" max="1" width="8.5546875" customWidth="1"/>
    <col min="2" max="2" width="11.6640625" bestFit="1" customWidth="1"/>
    <col min="3" max="3" width="18.88671875" bestFit="1" customWidth="1"/>
    <col min="4" max="4" width="12.109375" bestFit="1" customWidth="1"/>
    <col min="5" max="5" width="14.6640625" bestFit="1" customWidth="1"/>
    <col min="6" max="6" width="18.88671875" style="7" bestFit="1" customWidth="1"/>
    <col min="7" max="7" width="20" style="7" bestFit="1" customWidth="1"/>
    <col min="8" max="8" width="24" style="7" bestFit="1" customWidth="1"/>
    <col min="9" max="9" width="21.5546875" style="7" bestFit="1" customWidth="1"/>
    <col min="10" max="10" width="15.21875" style="17" bestFit="1" customWidth="1"/>
    <col min="11" max="11" width="13.88671875" style="7" bestFit="1" customWidth="1"/>
    <col min="12" max="12" width="17.77734375" style="7" bestFit="1" customWidth="1"/>
    <col min="13" max="13" width="22.109375" style="7" bestFit="1" customWidth="1"/>
    <col min="14" max="14" width="10.21875" style="7" bestFit="1" customWidth="1"/>
    <col min="15" max="15" width="18.44140625" bestFit="1" customWidth="1"/>
  </cols>
  <sheetData>
    <row r="1" spans="1:15" x14ac:dyDescent="0.3">
      <c r="A1" s="1" t="s">
        <v>9</v>
      </c>
      <c r="B1" s="2" t="s">
        <v>0</v>
      </c>
      <c r="C1" s="2" t="s">
        <v>2</v>
      </c>
      <c r="D1" s="6" t="s">
        <v>5</v>
      </c>
      <c r="E1" s="6" t="s">
        <v>4</v>
      </c>
      <c r="F1" s="9" t="s">
        <v>17</v>
      </c>
      <c r="G1" s="8" t="s">
        <v>6</v>
      </c>
      <c r="H1" s="9" t="s">
        <v>18</v>
      </c>
      <c r="I1" s="9" t="s">
        <v>3</v>
      </c>
      <c r="J1" s="15" t="s">
        <v>30</v>
      </c>
      <c r="K1" s="8" t="s">
        <v>7</v>
      </c>
      <c r="L1" s="9" t="s">
        <v>8</v>
      </c>
      <c r="M1" s="10" t="s">
        <v>10</v>
      </c>
      <c r="N1" s="10" t="s">
        <v>11</v>
      </c>
      <c r="O1" s="3" t="s">
        <v>1</v>
      </c>
    </row>
    <row r="2" spans="1:15" x14ac:dyDescent="0.3">
      <c r="A2" s="4" t="s">
        <v>12</v>
      </c>
      <c r="B2" s="4" t="s">
        <v>14</v>
      </c>
      <c r="C2" s="4" t="s">
        <v>15</v>
      </c>
      <c r="D2" s="5" t="s">
        <v>16</v>
      </c>
      <c r="E2" s="5" t="s">
        <v>16</v>
      </c>
      <c r="F2" s="11">
        <v>4500</v>
      </c>
      <c r="G2" s="11">
        <v>1600</v>
      </c>
      <c r="H2" s="11">
        <v>4500</v>
      </c>
      <c r="I2" s="11">
        <v>1027.05</v>
      </c>
      <c r="J2" s="16">
        <v>0</v>
      </c>
      <c r="K2" s="11">
        <v>0</v>
      </c>
      <c r="L2" s="11">
        <v>0</v>
      </c>
      <c r="M2" s="11">
        <v>0</v>
      </c>
      <c r="N2" s="11">
        <f>H2-I2</f>
        <v>3472.95</v>
      </c>
      <c r="O2" s="13" t="s">
        <v>32</v>
      </c>
    </row>
    <row r="3" spans="1:15" x14ac:dyDescent="0.3">
      <c r="A3" s="4" t="s">
        <v>13</v>
      </c>
      <c r="B3" s="4" t="s">
        <v>14</v>
      </c>
      <c r="C3" s="4" t="s">
        <v>15</v>
      </c>
      <c r="D3" s="5" t="s">
        <v>16</v>
      </c>
      <c r="E3" s="5" t="s">
        <v>16</v>
      </c>
      <c r="F3" s="11">
        <v>4500</v>
      </c>
      <c r="G3" s="11">
        <v>1500</v>
      </c>
      <c r="H3" s="11">
        <v>4500</v>
      </c>
      <c r="I3" s="11">
        <v>851.7</v>
      </c>
      <c r="J3" s="16">
        <v>0</v>
      </c>
      <c r="K3" s="11">
        <v>0</v>
      </c>
      <c r="L3" s="11">
        <v>0</v>
      </c>
      <c r="M3" s="11">
        <v>0</v>
      </c>
      <c r="N3" s="11">
        <f>H3-I3</f>
        <v>3648.3</v>
      </c>
      <c r="O3" s="13" t="s">
        <v>32</v>
      </c>
    </row>
    <row r="4" spans="1:15" x14ac:dyDescent="0.3">
      <c r="A4" s="4" t="s">
        <v>13</v>
      </c>
      <c r="B4" s="4" t="s">
        <v>14</v>
      </c>
      <c r="C4" s="4" t="s">
        <v>15</v>
      </c>
      <c r="D4" s="5" t="s">
        <v>19</v>
      </c>
      <c r="E4" s="5" t="s">
        <v>19</v>
      </c>
      <c r="F4" s="11">
        <v>4500</v>
      </c>
      <c r="G4" s="11">
        <v>1600</v>
      </c>
      <c r="H4" s="11">
        <v>4500</v>
      </c>
      <c r="I4" s="11">
        <v>851.7</v>
      </c>
      <c r="J4" s="16">
        <v>0</v>
      </c>
      <c r="K4" s="11">
        <v>0</v>
      </c>
      <c r="L4" s="11"/>
      <c r="M4" s="11"/>
      <c r="N4" s="11">
        <f>H4-I4</f>
        <v>3648.3</v>
      </c>
      <c r="O4" s="13" t="s">
        <v>32</v>
      </c>
    </row>
    <row r="5" spans="1:15" x14ac:dyDescent="0.3">
      <c r="A5" s="4" t="s">
        <v>12</v>
      </c>
      <c r="B5" s="4" t="s">
        <v>14</v>
      </c>
      <c r="C5" s="4" t="s">
        <v>15</v>
      </c>
      <c r="D5" s="5" t="s">
        <v>19</v>
      </c>
      <c r="E5" s="5" t="s">
        <v>20</v>
      </c>
      <c r="F5" s="11">
        <v>4500</v>
      </c>
      <c r="G5" s="11">
        <v>1800</v>
      </c>
      <c r="H5" s="11">
        <v>4500</v>
      </c>
      <c r="I5" s="14">
        <v>1030</v>
      </c>
      <c r="J5" s="16">
        <v>0</v>
      </c>
      <c r="K5" s="11">
        <v>0</v>
      </c>
      <c r="L5" s="11">
        <v>0</v>
      </c>
      <c r="M5" s="11">
        <v>0</v>
      </c>
      <c r="N5" s="11">
        <f>H5-I5</f>
        <v>3470</v>
      </c>
      <c r="O5" s="13" t="s">
        <v>32</v>
      </c>
    </row>
    <row r="6" spans="1:15" x14ac:dyDescent="0.3">
      <c r="A6" s="4" t="s">
        <v>13</v>
      </c>
      <c r="B6" s="4" t="s">
        <v>14</v>
      </c>
      <c r="C6" s="4" t="s">
        <v>21</v>
      </c>
      <c r="D6" s="5" t="s">
        <v>20</v>
      </c>
      <c r="E6" s="5" t="s">
        <v>22</v>
      </c>
      <c r="F6" s="11">
        <v>19500</v>
      </c>
      <c r="G6" s="11">
        <v>1800</v>
      </c>
      <c r="H6" s="11">
        <v>19500</v>
      </c>
      <c r="I6" s="14">
        <v>6447.9</v>
      </c>
      <c r="J6" s="16">
        <v>0</v>
      </c>
      <c r="K6" s="11">
        <v>0</v>
      </c>
      <c r="L6" s="11"/>
      <c r="M6" s="11"/>
      <c r="N6" s="11">
        <f t="shared" ref="N6:N9" si="0">H6-I6</f>
        <v>13052.1</v>
      </c>
      <c r="O6" s="13" t="s">
        <v>32</v>
      </c>
    </row>
    <row r="7" spans="1:15" ht="15" thickBot="1" x14ac:dyDescent="0.35">
      <c r="A7" s="4" t="s">
        <v>12</v>
      </c>
      <c r="B7" s="4" t="s">
        <v>14</v>
      </c>
      <c r="C7" s="4" t="s">
        <v>15</v>
      </c>
      <c r="D7" s="5" t="s">
        <v>23</v>
      </c>
      <c r="E7" s="5" t="s">
        <v>24</v>
      </c>
      <c r="F7" s="12">
        <v>4500</v>
      </c>
      <c r="G7" s="12">
        <v>1800</v>
      </c>
      <c r="H7" s="11">
        <v>4500</v>
      </c>
      <c r="I7" s="14">
        <v>851.7</v>
      </c>
      <c r="J7" s="16">
        <v>0</v>
      </c>
      <c r="K7" s="11">
        <v>0</v>
      </c>
      <c r="L7" s="11">
        <v>0</v>
      </c>
      <c r="M7" s="11">
        <v>0</v>
      </c>
      <c r="N7" s="11">
        <f t="shared" si="0"/>
        <v>3648.3</v>
      </c>
      <c r="O7" s="13" t="s">
        <v>32</v>
      </c>
    </row>
    <row r="8" spans="1:15" x14ac:dyDescent="0.3">
      <c r="A8" s="1" t="s">
        <v>9</v>
      </c>
      <c r="B8" s="2" t="s">
        <v>0</v>
      </c>
      <c r="C8" s="2" t="s">
        <v>2</v>
      </c>
      <c r="D8" s="6" t="s">
        <v>5</v>
      </c>
      <c r="E8" s="6" t="s">
        <v>4</v>
      </c>
      <c r="F8" s="9" t="s">
        <v>28</v>
      </c>
      <c r="G8" s="8" t="s">
        <v>6</v>
      </c>
      <c r="H8" s="9" t="s">
        <v>29</v>
      </c>
      <c r="I8" s="9" t="s">
        <v>3</v>
      </c>
      <c r="J8" s="15" t="s">
        <v>31</v>
      </c>
      <c r="K8" s="8" t="s">
        <v>7</v>
      </c>
      <c r="L8" s="9" t="s">
        <v>8</v>
      </c>
      <c r="M8" s="10" t="s">
        <v>10</v>
      </c>
      <c r="N8" s="10" t="s">
        <v>11</v>
      </c>
      <c r="O8" s="3" t="s">
        <v>1</v>
      </c>
    </row>
    <row r="9" spans="1:15" x14ac:dyDescent="0.3">
      <c r="A9" s="4" t="s">
        <v>13</v>
      </c>
      <c r="B9" s="4" t="s">
        <v>25</v>
      </c>
      <c r="C9" s="4" t="s">
        <v>26</v>
      </c>
      <c r="D9" s="5" t="s">
        <v>27</v>
      </c>
      <c r="E9" s="5"/>
      <c r="F9" s="11">
        <v>72500</v>
      </c>
      <c r="G9" s="11"/>
      <c r="H9" s="11">
        <v>72500</v>
      </c>
      <c r="I9" s="14">
        <v>28313.8</v>
      </c>
      <c r="J9" s="16">
        <v>106314</v>
      </c>
      <c r="K9" s="11">
        <v>0</v>
      </c>
      <c r="L9" s="11">
        <v>4780</v>
      </c>
      <c r="M9" s="11"/>
      <c r="N9" s="11">
        <f t="shared" si="0"/>
        <v>44186.2</v>
      </c>
      <c r="O9" s="13"/>
    </row>
    <row r="10" spans="1:15" x14ac:dyDescent="0.3">
      <c r="A10" s="4" t="s">
        <v>12</v>
      </c>
      <c r="B10" s="4" t="s">
        <v>25</v>
      </c>
      <c r="C10" s="4" t="s">
        <v>26</v>
      </c>
      <c r="D10" s="5" t="s">
        <v>27</v>
      </c>
      <c r="E10" s="5"/>
      <c r="F10" s="11">
        <v>72500</v>
      </c>
      <c r="G10" s="11"/>
      <c r="H10" s="11">
        <v>72500</v>
      </c>
      <c r="I10" s="14">
        <v>18980.7</v>
      </c>
      <c r="J10" s="16">
        <v>106310</v>
      </c>
      <c r="K10" s="11">
        <v>0</v>
      </c>
      <c r="L10" s="11">
        <v>3780</v>
      </c>
      <c r="M10" s="11"/>
      <c r="N10" s="11">
        <f t="shared" ref="N10:N11" si="1">H10-I10</f>
        <v>53519.3</v>
      </c>
      <c r="O10" s="13"/>
    </row>
    <row r="11" spans="1:15" x14ac:dyDescent="0.3">
      <c r="A11" s="4"/>
      <c r="B11" s="4"/>
      <c r="C11" s="4"/>
      <c r="D11" s="5"/>
      <c r="E11" s="5"/>
      <c r="F11" s="11"/>
      <c r="G11" s="11"/>
      <c r="H11" s="11"/>
      <c r="I11" s="14">
        <v>0</v>
      </c>
      <c r="J11" s="16">
        <v>0</v>
      </c>
      <c r="K11" s="11">
        <v>0</v>
      </c>
      <c r="L11" s="11"/>
      <c r="M11" s="11"/>
      <c r="N11" s="11">
        <f t="shared" si="1"/>
        <v>0</v>
      </c>
      <c r="O11" s="13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2026-05-23T19:32:20Z</dcterms:created>
  <dcterms:modified xsi:type="dcterms:W3CDTF">2026-06-24T09:18:20Z</dcterms:modified>
</cp:coreProperties>
</file>