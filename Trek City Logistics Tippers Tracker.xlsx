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OPERATIONS_LINK\"/>
    </mc:Choice>
  </mc:AlternateContent>
  <xr:revisionPtr revIDLastSave="0" documentId="13_ncr:1_{11D5B2BA-C5CC-4231-8EA8-33D3607C9C1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Y" sheetId="2" r:id="rId1"/>
    <sheet name="JUNE" sheetId="1" r:id="rId2"/>
    <sheet name="JULY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H2" i="2"/>
  <c r="N2" i="2" s="1"/>
  <c r="H3" i="2"/>
  <c r="N3" i="2" s="1"/>
  <c r="H4" i="2"/>
  <c r="N4" i="2" s="1"/>
  <c r="H5" i="2"/>
  <c r="N5" i="2" s="1"/>
  <c r="H6" i="2"/>
  <c r="N6" i="2" s="1"/>
  <c r="N7" i="2"/>
  <c r="N8" i="2"/>
  <c r="J6" i="1"/>
  <c r="S6" i="1" s="1"/>
  <c r="I7" i="1"/>
  <c r="J7" i="1" s="1"/>
  <c r="S7" i="1" s="1"/>
  <c r="I5" i="1"/>
  <c r="I3" i="1" l="1"/>
  <c r="J3" i="1" s="1"/>
  <c r="S3" i="1" s="1"/>
  <c r="I2" i="1"/>
  <c r="J2" i="1" s="1"/>
  <c r="S2" i="1" s="1"/>
  <c r="J5" i="1"/>
  <c r="S5" i="1" s="1"/>
  <c r="I4" i="1"/>
  <c r="J4" i="1" l="1"/>
  <c r="S4" i="1" s="1"/>
</calcChain>
</file>

<file path=xl/sharedStrings.xml><?xml version="1.0" encoding="utf-8"?>
<sst xmlns="http://schemas.openxmlformats.org/spreadsheetml/2006/main" count="136" uniqueCount="61">
  <si>
    <t>Client Name</t>
  </si>
  <si>
    <t>Payment Due Date</t>
  </si>
  <si>
    <t>B148BWZ</t>
  </si>
  <si>
    <t>B906BWY</t>
  </si>
  <si>
    <t>Grain Train Logistics</t>
  </si>
  <si>
    <t>Route</t>
  </si>
  <si>
    <t>Wiseman Freight Transporters</t>
  </si>
  <si>
    <t>South Africa- Zimbabwe</t>
  </si>
  <si>
    <t>South Africa- Botswana</t>
  </si>
  <si>
    <t>Fuelled Amount-BWP</t>
  </si>
  <si>
    <t>Offloading Date</t>
  </si>
  <si>
    <t>Loading Date</t>
  </si>
  <si>
    <t>Offloaded Tonnages</t>
  </si>
  <si>
    <t>Rate Charged-ZAR</t>
  </si>
  <si>
    <t>Expected Payment- ZAR</t>
  </si>
  <si>
    <t>Fuelling Date</t>
  </si>
  <si>
    <t>Border Fees-BWP</t>
  </si>
  <si>
    <t>Truck</t>
  </si>
  <si>
    <t>Twin Tip Logistics</t>
  </si>
  <si>
    <t>Esmar Transport</t>
  </si>
  <si>
    <t>Wash/Data/Truck Stop</t>
  </si>
  <si>
    <t>Profit</t>
  </si>
  <si>
    <t>NCI Invoice number</t>
  </si>
  <si>
    <t>BW181034/BW181229</t>
  </si>
  <si>
    <t>BW179528</t>
  </si>
  <si>
    <t>BW179526</t>
  </si>
  <si>
    <t>BW179964</t>
  </si>
  <si>
    <t>BW179963</t>
  </si>
  <si>
    <t>BWP181033/BWP181388</t>
  </si>
  <si>
    <t>South Link</t>
  </si>
  <si>
    <t>Maintenance</t>
  </si>
  <si>
    <r>
      <t>2026/06/01 -</t>
    </r>
    <r>
      <rPr>
        <b/>
        <sz val="11"/>
        <color rgb="FF00B050"/>
        <rFont val="Calibri"/>
        <family val="2"/>
        <scheme val="minor"/>
      </rPr>
      <t>PAID</t>
    </r>
  </si>
  <si>
    <r>
      <t xml:space="preserve">2026/06/01- </t>
    </r>
    <r>
      <rPr>
        <b/>
        <sz val="11"/>
        <color rgb="FF00B050"/>
        <rFont val="Calibri"/>
        <family val="2"/>
        <scheme val="minor"/>
      </rPr>
      <t>PAID</t>
    </r>
  </si>
  <si>
    <t>Esmar</t>
  </si>
  <si>
    <t>Botswana-Suth  Africa</t>
  </si>
  <si>
    <t>164965/7477/077879</t>
  </si>
  <si>
    <t>164959/7477</t>
  </si>
  <si>
    <t>Tswana Fuel</t>
  </si>
  <si>
    <t>Expected Payment- BWP</t>
  </si>
  <si>
    <t>BWP182380</t>
  </si>
  <si>
    <t>BWP182381</t>
  </si>
  <si>
    <t>13/06/2026</t>
  </si>
  <si>
    <t>15/06/2026</t>
  </si>
  <si>
    <t>21/06/2026</t>
  </si>
  <si>
    <t>Fines</t>
  </si>
  <si>
    <t>Verb-Logistics</t>
  </si>
  <si>
    <t>Zimbabwe - South Africa</t>
  </si>
  <si>
    <t>SparkFuel</t>
  </si>
  <si>
    <t>Depot</t>
  </si>
  <si>
    <t>16/06/2026</t>
  </si>
  <si>
    <t>18/06/2026</t>
  </si>
  <si>
    <r>
      <t xml:space="preserve">2026/06/03- </t>
    </r>
    <r>
      <rPr>
        <b/>
        <sz val="11"/>
        <color rgb="FF00B050"/>
        <rFont val="Calibri"/>
        <family val="2"/>
        <scheme val="minor"/>
      </rPr>
      <t>PAID</t>
    </r>
  </si>
  <si>
    <r>
      <t xml:space="preserve">2026/06/04- </t>
    </r>
    <r>
      <rPr>
        <b/>
        <sz val="11"/>
        <color rgb="FF00B050"/>
        <rFont val="Calibri"/>
        <family val="2"/>
        <scheme val="minor"/>
      </rPr>
      <t>PAID</t>
    </r>
  </si>
  <si>
    <t>Invoice number</t>
  </si>
  <si>
    <t>Baga-Modikwa</t>
  </si>
  <si>
    <r>
      <t xml:space="preserve">2026/06/12- </t>
    </r>
    <r>
      <rPr>
        <b/>
        <sz val="11"/>
        <color rgb="FF00B050"/>
        <rFont val="Calibri"/>
        <family val="2"/>
        <scheme val="minor"/>
      </rPr>
      <t>PAID</t>
    </r>
  </si>
  <si>
    <t>23/06/2026</t>
  </si>
  <si>
    <t>loaded Tonnages</t>
  </si>
  <si>
    <r>
      <t>21/06/2026</t>
    </r>
    <r>
      <rPr>
        <b/>
        <sz val="11"/>
        <color rgb="FF00B050"/>
        <rFont val="Calibri"/>
        <family val="2"/>
        <scheme val="minor"/>
      </rPr>
      <t>-PAID</t>
    </r>
  </si>
  <si>
    <t>30/06/2026-UNPAID</t>
  </si>
  <si>
    <t>2/7/2026 -UNPAID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</si>
</sst>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_);\(0\)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</cellStyleXfs>
  <cellXfs count="38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" xfId="0" applyBorder="1"/>
    <xf numFmtId="14" fontId="0" fillId="0" borderId="1" xfId="0" applyNumberFormat="1" applyBorder="1"/>
    <xf numFmtId="0" fontId="3" fillId="0" borderId="3" xfId="0" applyFont="1" applyBorder="1"/>
    <xf numFmtId="43" fontId="0" fillId="0" borderId="0" xfId="1" applyFont="1"/>
    <xf numFmtId="43" fontId="3" fillId="0" borderId="3" xfId="1" applyFont="1" applyBorder="1"/>
    <xf numFmtId="43" fontId="1" fillId="0" borderId="3" xfId="1" applyFont="1" applyBorder="1"/>
    <xf numFmtId="43" fontId="1" fillId="0" borderId="5" xfId="1" applyFont="1" applyBorder="1"/>
    <xf numFmtId="43" fontId="0" fillId="0" borderId="1" xfId="1" applyFont="1" applyBorder="1"/>
    <xf numFmtId="43" fontId="0" fillId="0" borderId="1" xfId="1" applyFont="1" applyBorder="1" applyAlignment="1">
      <alignment horizontal="right"/>
    </xf>
    <xf numFmtId="0" fontId="6" fillId="2" borderId="1" xfId="2" applyFont="1" applyFill="1" applyBorder="1" applyAlignment="1">
      <alignment horizontal="right"/>
    </xf>
    <xf numFmtId="0" fontId="5" fillId="0" borderId="1" xfId="2" applyBorder="1" applyAlignment="1">
      <alignment horizontal="right"/>
    </xf>
    <xf numFmtId="14" fontId="2" fillId="0" borderId="1" xfId="0" applyNumberFormat="1" applyFont="1" applyBorder="1" applyAlignment="1">
      <alignment horizontal="left"/>
    </xf>
    <xf numFmtId="14" fontId="0" fillId="0" borderId="1" xfId="1" applyNumberFormat="1" applyFont="1" applyBorder="1"/>
    <xf numFmtId="14" fontId="0" fillId="0" borderId="1" xfId="1" applyNumberFormat="1" applyFont="1" applyBorder="1" applyAlignment="1">
      <alignment horizontal="right"/>
    </xf>
    <xf numFmtId="0" fontId="1" fillId="0" borderId="1" xfId="0" applyFont="1" applyBorder="1"/>
    <xf numFmtId="43" fontId="1" fillId="0" borderId="1" xfId="1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43" fontId="3" fillId="0" borderId="1" xfId="1" applyFont="1" applyBorder="1" applyAlignment="1">
      <alignment horizontal="right"/>
    </xf>
    <xf numFmtId="43" fontId="0" fillId="0" borderId="0" xfId="1" applyFont="1" applyAlignment="1">
      <alignment horizontal="right"/>
    </xf>
    <xf numFmtId="0" fontId="3" fillId="0" borderId="1" xfId="0" applyFont="1" applyBorder="1" applyAlignment="1">
      <alignment horizontal="right"/>
    </xf>
    <xf numFmtId="43" fontId="9" fillId="0" borderId="1" xfId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5" fontId="1" fillId="0" borderId="1" xfId="1" applyNumberFormat="1" applyFont="1" applyBorder="1" applyAlignment="1">
      <alignment horizontal="right"/>
    </xf>
    <xf numFmtId="165" fontId="0" fillId="0" borderId="1" xfId="1" applyNumberFormat="1" applyFont="1" applyBorder="1" applyAlignment="1">
      <alignment horizontal="right"/>
    </xf>
    <xf numFmtId="165" fontId="6" fillId="2" borderId="1" xfId="1" applyNumberFormat="1" applyFont="1" applyFill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6" fontId="0" fillId="0" borderId="1" xfId="1" applyNumberFormat="1" applyFont="1" applyBorder="1" applyAlignment="1">
      <alignment horizontal="right"/>
    </xf>
    <xf numFmtId="43" fontId="1" fillId="0" borderId="1" xfId="1" applyFont="1" applyBorder="1" applyAlignment="1">
      <alignment horizontal="left"/>
    </xf>
    <xf numFmtId="43" fontId="0" fillId="0" borderId="1" xfId="1" applyFont="1" applyBorder="1" applyAlignment="1">
      <alignment horizontal="left"/>
    </xf>
    <xf numFmtId="14" fontId="0" fillId="0" borderId="1" xfId="1" applyNumberFormat="1" applyFont="1" applyBorder="1" applyAlignment="1">
      <alignment horizontal="left"/>
    </xf>
    <xf numFmtId="43" fontId="0" fillId="0" borderId="0" xfId="1" applyFont="1" applyAlignment="1">
      <alignment horizontal="left"/>
    </xf>
    <xf numFmtId="14" fontId="6" fillId="2" borderId="1" xfId="1" applyNumberFormat="1" applyFont="1" applyFill="1" applyBorder="1" applyAlignment="1">
      <alignment horizontal="right"/>
    </xf>
    <xf numFmtId="43" fontId="2" fillId="0" borderId="1" xfId="1" applyFont="1" applyBorder="1" applyAlignment="1">
      <alignment horizontal="left"/>
    </xf>
  </cellXfs>
  <cellStyles count="4">
    <cellStyle name="Comma" xfId="1" builtinId="3"/>
    <cellStyle name="Comma 2" xfId="3" xr:uid="{5A2980FC-9065-4F4C-88F7-DEA5815A04EA}"/>
    <cellStyle name="Normal" xfId="0" builtinId="0"/>
    <cellStyle name="Normal 2" xfId="2" xr:uid="{B26FC7D0-4A3B-4366-9EC7-4E70FD716E7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57B9-9771-4E5E-B0DC-E57DCF48CE9E}">
  <dimension ref="A1:O9"/>
  <sheetViews>
    <sheetView zoomScale="70" zoomScaleNormal="70" workbookViewId="0">
      <selection activeCell="H16" sqref="H16"/>
    </sheetView>
  </sheetViews>
  <sheetFormatPr defaultRowHeight="14.4" x14ac:dyDescent="0.3"/>
  <cols>
    <col min="1" max="1" width="9.44140625" bestFit="1" customWidth="1"/>
    <col min="2" max="2" width="28" bestFit="1" customWidth="1"/>
    <col min="3" max="3" width="22" bestFit="1" customWidth="1"/>
    <col min="4" max="4" width="12.33203125" bestFit="1" customWidth="1"/>
    <col min="5" max="5" width="14.6640625" bestFit="1" customWidth="1"/>
    <col min="6" max="6" width="18" style="7" bestFit="1" customWidth="1"/>
    <col min="7" max="7" width="19.77734375" style="7" bestFit="1" customWidth="1"/>
    <col min="8" max="8" width="23.33203125" style="7" bestFit="1" customWidth="1"/>
    <col min="9" max="9" width="21.33203125" style="7" bestFit="1" customWidth="1"/>
    <col min="10" max="10" width="25.21875" style="7" bestFit="1" customWidth="1"/>
    <col min="11" max="11" width="13.5546875" style="7" bestFit="1" customWidth="1"/>
    <col min="12" max="12" width="17.77734375" style="7" bestFit="1" customWidth="1"/>
    <col min="13" max="13" width="22.33203125" style="7" bestFit="1" customWidth="1"/>
    <col min="14" max="14" width="11.109375" style="7" bestFit="1" customWidth="1"/>
    <col min="15" max="15" width="20.109375" bestFit="1" customWidth="1"/>
    <col min="16" max="19" width="10.21875" bestFit="1" customWidth="1"/>
    <col min="20" max="20" width="11" bestFit="1" customWidth="1"/>
    <col min="25" max="25" width="8.77734375" bestFit="1" customWidth="1"/>
    <col min="26" max="26" width="5" bestFit="1" customWidth="1"/>
    <col min="27" max="27" width="6.5546875" bestFit="1" customWidth="1"/>
  </cols>
  <sheetData>
    <row r="1" spans="1:15" x14ac:dyDescent="0.3">
      <c r="A1" s="1" t="s">
        <v>17</v>
      </c>
      <c r="B1" s="2" t="s">
        <v>0</v>
      </c>
      <c r="C1" s="2" t="s">
        <v>5</v>
      </c>
      <c r="D1" s="6" t="s">
        <v>11</v>
      </c>
      <c r="E1" s="6" t="s">
        <v>10</v>
      </c>
      <c r="F1" s="8" t="s">
        <v>13</v>
      </c>
      <c r="G1" s="8" t="s">
        <v>12</v>
      </c>
      <c r="H1" s="8" t="s">
        <v>14</v>
      </c>
      <c r="I1" s="9" t="s">
        <v>9</v>
      </c>
      <c r="J1" s="9" t="s">
        <v>22</v>
      </c>
      <c r="K1" s="8" t="s">
        <v>15</v>
      </c>
      <c r="L1" s="9" t="s">
        <v>16</v>
      </c>
      <c r="M1" s="10" t="s">
        <v>20</v>
      </c>
      <c r="N1" s="10" t="s">
        <v>21</v>
      </c>
      <c r="O1" s="3" t="s">
        <v>1</v>
      </c>
    </row>
    <row r="2" spans="1:15" x14ac:dyDescent="0.3">
      <c r="A2" s="4" t="s">
        <v>2</v>
      </c>
      <c r="B2" s="4" t="s">
        <v>19</v>
      </c>
      <c r="C2" s="4" t="s">
        <v>7</v>
      </c>
      <c r="D2" s="5">
        <v>46141</v>
      </c>
      <c r="E2" s="5">
        <v>46146</v>
      </c>
      <c r="F2" s="11">
        <v>1400</v>
      </c>
      <c r="G2" s="11">
        <v>35.4</v>
      </c>
      <c r="H2" s="11">
        <f>G2*F2</f>
        <v>49560</v>
      </c>
      <c r="I2" s="11">
        <v>19682.68</v>
      </c>
      <c r="J2" s="13" t="s">
        <v>24</v>
      </c>
      <c r="K2" s="16">
        <v>46144</v>
      </c>
      <c r="L2" s="11">
        <v>870</v>
      </c>
      <c r="M2" s="11">
        <v>270</v>
      </c>
      <c r="N2" s="11">
        <f>H2*0.82-I2-L2-M2</f>
        <v>19816.519999999997</v>
      </c>
      <c r="O2" s="15" t="s">
        <v>31</v>
      </c>
    </row>
    <row r="3" spans="1:15" x14ac:dyDescent="0.3">
      <c r="A3" s="4" t="s">
        <v>3</v>
      </c>
      <c r="B3" s="4" t="s">
        <v>19</v>
      </c>
      <c r="C3" s="4" t="s">
        <v>7</v>
      </c>
      <c r="D3" s="5">
        <v>46141</v>
      </c>
      <c r="E3" s="5">
        <v>46146</v>
      </c>
      <c r="F3" s="11">
        <v>1400</v>
      </c>
      <c r="G3" s="11">
        <v>34.020000000000003</v>
      </c>
      <c r="H3" s="11">
        <f t="shared" ref="H3:H6" si="0">G3*F3</f>
        <v>47628.000000000007</v>
      </c>
      <c r="I3" s="11">
        <v>19800</v>
      </c>
      <c r="J3" s="13" t="s">
        <v>25</v>
      </c>
      <c r="K3" s="16">
        <v>46144</v>
      </c>
      <c r="L3" s="11">
        <v>870</v>
      </c>
      <c r="M3" s="11">
        <v>270</v>
      </c>
      <c r="N3" s="11">
        <f t="shared" ref="N3:N8" si="1">H3*0.82-I3-L3-M3</f>
        <v>18114.960000000006</v>
      </c>
      <c r="O3" s="15" t="s">
        <v>32</v>
      </c>
    </row>
    <row r="4" spans="1:15" x14ac:dyDescent="0.3">
      <c r="A4" s="4" t="s">
        <v>2</v>
      </c>
      <c r="B4" s="4" t="s">
        <v>18</v>
      </c>
      <c r="C4" s="4" t="s">
        <v>7</v>
      </c>
      <c r="D4" s="5">
        <v>46148</v>
      </c>
      <c r="E4" s="5">
        <v>46152</v>
      </c>
      <c r="F4" s="11">
        <v>1400</v>
      </c>
      <c r="G4" s="11">
        <v>35.700000000000003</v>
      </c>
      <c r="H4" s="11">
        <f t="shared" si="0"/>
        <v>49980.000000000007</v>
      </c>
      <c r="I4" s="11">
        <v>18562.5</v>
      </c>
      <c r="J4" s="13" t="s">
        <v>26</v>
      </c>
      <c r="K4" s="16">
        <v>46149</v>
      </c>
      <c r="L4" s="11">
        <v>870</v>
      </c>
      <c r="M4" s="11">
        <v>270</v>
      </c>
      <c r="N4" s="11">
        <f t="shared" si="1"/>
        <v>21281.100000000006</v>
      </c>
      <c r="O4" s="15" t="s">
        <v>51</v>
      </c>
    </row>
    <row r="5" spans="1:15" x14ac:dyDescent="0.3">
      <c r="A5" s="4" t="s">
        <v>3</v>
      </c>
      <c r="B5" s="4" t="s">
        <v>18</v>
      </c>
      <c r="C5" s="4" t="s">
        <v>7</v>
      </c>
      <c r="D5" s="5">
        <v>46148</v>
      </c>
      <c r="E5" s="5">
        <v>46152</v>
      </c>
      <c r="F5" s="11">
        <v>1400</v>
      </c>
      <c r="G5" s="11">
        <v>35.72</v>
      </c>
      <c r="H5" s="11">
        <f t="shared" si="0"/>
        <v>50008</v>
      </c>
      <c r="I5" s="11">
        <v>18562.5</v>
      </c>
      <c r="J5" s="14" t="s">
        <v>27</v>
      </c>
      <c r="K5" s="16">
        <v>46149</v>
      </c>
      <c r="L5" s="11">
        <v>870</v>
      </c>
      <c r="M5" s="11">
        <v>270</v>
      </c>
      <c r="N5" s="11">
        <f t="shared" si="1"/>
        <v>21304.059999999998</v>
      </c>
      <c r="O5" s="15" t="s">
        <v>51</v>
      </c>
    </row>
    <row r="6" spans="1:15" x14ac:dyDescent="0.3">
      <c r="A6" s="4" t="s">
        <v>2</v>
      </c>
      <c r="B6" s="4" t="s">
        <v>4</v>
      </c>
      <c r="C6" s="4" t="s">
        <v>8</v>
      </c>
      <c r="D6" s="5">
        <v>46155</v>
      </c>
      <c r="E6" s="5">
        <v>46158</v>
      </c>
      <c r="F6" s="11">
        <v>900</v>
      </c>
      <c r="G6" s="11">
        <v>35.380000000000003</v>
      </c>
      <c r="H6" s="11">
        <f t="shared" si="0"/>
        <v>31842.000000000004</v>
      </c>
      <c r="I6" s="11">
        <v>0</v>
      </c>
      <c r="J6" s="12">
        <v>0</v>
      </c>
      <c r="K6" s="11">
        <v>0</v>
      </c>
      <c r="L6" s="11">
        <v>0</v>
      </c>
      <c r="M6" s="11">
        <v>270</v>
      </c>
      <c r="N6" s="11">
        <f>H6*0.82-I6-L6-M6</f>
        <v>25840.440000000002</v>
      </c>
      <c r="O6" s="37">
        <v>0</v>
      </c>
    </row>
    <row r="7" spans="1:15" x14ac:dyDescent="0.3">
      <c r="A7" s="4" t="s">
        <v>3</v>
      </c>
      <c r="B7" s="4" t="s">
        <v>6</v>
      </c>
      <c r="C7" s="4" t="s">
        <v>7</v>
      </c>
      <c r="D7" s="5">
        <v>46164</v>
      </c>
      <c r="E7" s="5">
        <v>46169</v>
      </c>
      <c r="F7" s="12">
        <v>1800</v>
      </c>
      <c r="G7" s="12">
        <v>36.1</v>
      </c>
      <c r="H7" s="11">
        <v>64980</v>
      </c>
      <c r="I7" s="11">
        <v>22275</v>
      </c>
      <c r="J7" s="12" t="s">
        <v>23</v>
      </c>
      <c r="K7" s="17">
        <v>46163</v>
      </c>
      <c r="L7" s="11">
        <v>870</v>
      </c>
      <c r="M7" s="11">
        <v>270</v>
      </c>
      <c r="N7" s="11">
        <f t="shared" si="1"/>
        <v>29868.6</v>
      </c>
      <c r="O7" s="15" t="s">
        <v>52</v>
      </c>
    </row>
    <row r="8" spans="1:15" x14ac:dyDescent="0.3">
      <c r="A8" s="4" t="s">
        <v>2</v>
      </c>
      <c r="B8" s="4" t="s">
        <v>18</v>
      </c>
      <c r="C8" s="4" t="s">
        <v>7</v>
      </c>
      <c r="D8" s="5">
        <v>46167</v>
      </c>
      <c r="E8" s="5">
        <v>46169</v>
      </c>
      <c r="F8" s="11">
        <v>1400</v>
      </c>
      <c r="G8" s="11">
        <v>36.04</v>
      </c>
      <c r="H8" s="11">
        <v>50456</v>
      </c>
      <c r="I8" s="11">
        <v>21037.5</v>
      </c>
      <c r="J8" s="12" t="s">
        <v>28</v>
      </c>
      <c r="K8" s="16">
        <v>46167</v>
      </c>
      <c r="L8" s="11">
        <v>870</v>
      </c>
      <c r="M8" s="11">
        <v>270</v>
      </c>
      <c r="N8" s="11">
        <f t="shared" si="1"/>
        <v>19196.419999999998</v>
      </c>
      <c r="O8" s="15" t="s">
        <v>55</v>
      </c>
    </row>
    <row r="9" spans="1:15" x14ac:dyDescent="0.3">
      <c r="K9" s="16"/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topLeftCell="D1" zoomScale="70" zoomScaleNormal="70" workbookViewId="0">
      <selection activeCell="S15" sqref="S15"/>
    </sheetView>
  </sheetViews>
  <sheetFormatPr defaultColWidth="9.5546875" defaultRowHeight="14.4" x14ac:dyDescent="0.3"/>
  <cols>
    <col min="1" max="1" width="9.44140625" customWidth="1"/>
    <col min="2" max="2" width="14.109375" bestFit="1" customWidth="1"/>
    <col min="3" max="3" width="22.44140625" bestFit="1" customWidth="1"/>
    <col min="4" max="4" width="12.33203125" style="25" bestFit="1" customWidth="1"/>
    <col min="5" max="5" width="14.6640625" style="25" bestFit="1" customWidth="1"/>
    <col min="6" max="6" width="18" style="22" customWidth="1"/>
    <col min="7" max="7" width="16.88671875" style="22" bestFit="1" customWidth="1"/>
    <col min="8" max="8" width="19.77734375" style="22" bestFit="1" customWidth="1"/>
    <col min="9" max="9" width="23.33203125" style="22" bestFit="1" customWidth="1"/>
    <col min="10" max="10" width="24.21875" style="22" bestFit="1" customWidth="1"/>
    <col min="11" max="11" width="21.33203125" style="22" bestFit="1" customWidth="1"/>
    <col min="12" max="12" width="22" style="30" bestFit="1" customWidth="1"/>
    <col min="13" max="13" width="13.5546875" style="30" bestFit="1" customWidth="1"/>
    <col min="14" max="14" width="13.109375" style="35" bestFit="1" customWidth="1"/>
    <col min="15" max="15" width="17.77734375" style="22" bestFit="1" customWidth="1"/>
    <col min="16" max="16" width="22.33203125" style="22" bestFit="1" customWidth="1"/>
    <col min="17" max="17" width="8.33203125" style="22" bestFit="1" customWidth="1"/>
    <col min="18" max="18" width="13.5546875" style="22" bestFit="1" customWidth="1"/>
    <col min="19" max="19" width="11.109375" style="22" bestFit="1" customWidth="1"/>
    <col min="20" max="20" width="19.6640625" bestFit="1" customWidth="1"/>
  </cols>
  <sheetData>
    <row r="1" spans="1:20" x14ac:dyDescent="0.3">
      <c r="A1" s="18" t="s">
        <v>17</v>
      </c>
      <c r="B1" s="18" t="s">
        <v>0</v>
      </c>
      <c r="C1" s="18" t="s">
        <v>5</v>
      </c>
      <c r="D1" s="23" t="s">
        <v>11</v>
      </c>
      <c r="E1" s="23" t="s">
        <v>10</v>
      </c>
      <c r="F1" s="21" t="s">
        <v>13</v>
      </c>
      <c r="G1" s="19" t="s">
        <v>57</v>
      </c>
      <c r="H1" s="21" t="s">
        <v>12</v>
      </c>
      <c r="I1" s="21" t="s">
        <v>14</v>
      </c>
      <c r="J1" s="19" t="s">
        <v>38</v>
      </c>
      <c r="K1" s="19" t="s">
        <v>9</v>
      </c>
      <c r="L1" s="27" t="s">
        <v>53</v>
      </c>
      <c r="M1" s="21" t="s">
        <v>15</v>
      </c>
      <c r="N1" s="32" t="s">
        <v>48</v>
      </c>
      <c r="O1" s="19" t="s">
        <v>16</v>
      </c>
      <c r="P1" s="19" t="s">
        <v>20</v>
      </c>
      <c r="Q1" s="19" t="s">
        <v>44</v>
      </c>
      <c r="R1" s="19" t="s">
        <v>30</v>
      </c>
      <c r="S1" s="19" t="s">
        <v>21</v>
      </c>
      <c r="T1" s="18" t="s">
        <v>1</v>
      </c>
    </row>
    <row r="2" spans="1:20" x14ac:dyDescent="0.3">
      <c r="A2" s="4" t="s">
        <v>2</v>
      </c>
      <c r="B2" s="4" t="s">
        <v>33</v>
      </c>
      <c r="C2" s="4" t="s">
        <v>34</v>
      </c>
      <c r="D2" s="20">
        <v>46087</v>
      </c>
      <c r="E2" s="20">
        <v>46118</v>
      </c>
      <c r="F2" s="12">
        <v>759</v>
      </c>
      <c r="G2" s="12">
        <v>29.62</v>
      </c>
      <c r="H2" s="12">
        <v>29.62</v>
      </c>
      <c r="I2" s="12">
        <f>F2*H2</f>
        <v>22481.58</v>
      </c>
      <c r="J2" s="12">
        <f>I2*0.82</f>
        <v>18434.8956</v>
      </c>
      <c r="K2" s="12">
        <v>14420.1</v>
      </c>
      <c r="L2" s="28" t="s">
        <v>35</v>
      </c>
      <c r="M2" s="17">
        <v>46059</v>
      </c>
      <c r="N2" s="33" t="s">
        <v>37</v>
      </c>
      <c r="O2" s="12">
        <v>0</v>
      </c>
      <c r="P2" s="12">
        <v>100</v>
      </c>
      <c r="Q2" s="12"/>
      <c r="R2" s="12">
        <v>0</v>
      </c>
      <c r="S2" s="24">
        <f>J2-K2-P2</f>
        <v>3914.7955999999995</v>
      </c>
      <c r="T2" s="15" t="s">
        <v>60</v>
      </c>
    </row>
    <row r="3" spans="1:20" x14ac:dyDescent="0.3">
      <c r="A3" s="4" t="s">
        <v>3</v>
      </c>
      <c r="B3" s="4" t="s">
        <v>33</v>
      </c>
      <c r="C3" s="4" t="s">
        <v>34</v>
      </c>
      <c r="D3" s="20">
        <v>46059</v>
      </c>
      <c r="E3" s="20">
        <v>46118</v>
      </c>
      <c r="F3" s="12">
        <v>470</v>
      </c>
      <c r="G3" s="12">
        <v>21.66</v>
      </c>
      <c r="H3" s="12">
        <v>21.66</v>
      </c>
      <c r="I3" s="12">
        <f>F3*H3</f>
        <v>10180.200000000001</v>
      </c>
      <c r="J3" s="12">
        <f>I3*0.82</f>
        <v>8347.7639999999992</v>
      </c>
      <c r="K3" s="12">
        <v>7470</v>
      </c>
      <c r="L3" s="28" t="s">
        <v>36</v>
      </c>
      <c r="M3" s="17">
        <v>46087</v>
      </c>
      <c r="N3" s="33" t="s">
        <v>37</v>
      </c>
      <c r="O3" s="12">
        <v>0</v>
      </c>
      <c r="P3" s="12">
        <v>100</v>
      </c>
      <c r="Q3" s="12"/>
      <c r="R3" s="12">
        <v>0</v>
      </c>
      <c r="S3" s="24">
        <f>J3-K3-P3</f>
        <v>777.76399999999921</v>
      </c>
      <c r="T3" s="15" t="s">
        <v>60</v>
      </c>
    </row>
    <row r="4" spans="1:20" x14ac:dyDescent="0.3">
      <c r="A4" s="4" t="s">
        <v>2</v>
      </c>
      <c r="B4" s="4" t="s">
        <v>29</v>
      </c>
      <c r="C4" s="4" t="s">
        <v>7</v>
      </c>
      <c r="D4" s="20">
        <v>46118</v>
      </c>
      <c r="E4" s="20" t="s">
        <v>41</v>
      </c>
      <c r="F4" s="12">
        <v>1900</v>
      </c>
      <c r="G4" s="12">
        <v>35.314999999999998</v>
      </c>
      <c r="H4" s="12">
        <v>34.979999999999997</v>
      </c>
      <c r="I4" s="12">
        <f>H4*F4</f>
        <v>66462</v>
      </c>
      <c r="J4" s="12">
        <f>I4*0.82</f>
        <v>54498.84</v>
      </c>
      <c r="K4" s="12">
        <v>20443.5</v>
      </c>
      <c r="L4" s="29" t="s">
        <v>39</v>
      </c>
      <c r="M4" s="36"/>
      <c r="N4" s="33">
        <v>0</v>
      </c>
      <c r="O4" s="12">
        <v>3480</v>
      </c>
      <c r="P4" s="12">
        <v>300</v>
      </c>
      <c r="Q4" s="12">
        <v>100</v>
      </c>
      <c r="R4" s="12">
        <v>210</v>
      </c>
      <c r="S4" s="24">
        <f>J4-K4-P4-O4-R4-Q4</f>
        <v>29965.339999999997</v>
      </c>
      <c r="T4" s="15" t="s">
        <v>58</v>
      </c>
    </row>
    <row r="5" spans="1:20" x14ac:dyDescent="0.3">
      <c r="A5" s="4" t="s">
        <v>3</v>
      </c>
      <c r="B5" s="4" t="s">
        <v>29</v>
      </c>
      <c r="C5" s="4" t="s">
        <v>7</v>
      </c>
      <c r="D5" s="20">
        <v>46118</v>
      </c>
      <c r="E5" s="20" t="s">
        <v>42</v>
      </c>
      <c r="F5" s="12">
        <v>1900</v>
      </c>
      <c r="G5" s="12">
        <v>35</v>
      </c>
      <c r="H5" s="12">
        <v>34.58</v>
      </c>
      <c r="I5" s="12">
        <f>H5*F5</f>
        <v>65702</v>
      </c>
      <c r="J5" s="12">
        <f>I5*0.82</f>
        <v>53875.64</v>
      </c>
      <c r="K5" s="12">
        <v>21285.7</v>
      </c>
      <c r="L5" s="29" t="s">
        <v>40</v>
      </c>
      <c r="M5" s="36"/>
      <c r="N5" s="33">
        <v>0</v>
      </c>
      <c r="O5" s="12">
        <v>3480</v>
      </c>
      <c r="P5" s="12">
        <v>300</v>
      </c>
      <c r="Q5" s="12">
        <v>100</v>
      </c>
      <c r="R5" s="12">
        <v>410</v>
      </c>
      <c r="S5" s="24">
        <f>J5-K5-P5-O5-R5-Q5</f>
        <v>28299.94</v>
      </c>
      <c r="T5" s="15" t="s">
        <v>58</v>
      </c>
    </row>
    <row r="6" spans="1:20" x14ac:dyDescent="0.3">
      <c r="A6" s="4" t="s">
        <v>3</v>
      </c>
      <c r="B6" s="4" t="s">
        <v>45</v>
      </c>
      <c r="C6" s="4" t="s">
        <v>46</v>
      </c>
      <c r="D6" s="20" t="s">
        <v>50</v>
      </c>
      <c r="E6" s="20" t="s">
        <v>43</v>
      </c>
      <c r="F6" s="12">
        <v>1646.05</v>
      </c>
      <c r="G6" s="12">
        <v>33.159999999999997</v>
      </c>
      <c r="H6" s="12">
        <v>32.9</v>
      </c>
      <c r="I6" s="12">
        <f>H6*F6</f>
        <v>54155.044999999998</v>
      </c>
      <c r="J6" s="12">
        <f t="shared" ref="J6:J7" si="0">I6*0.82</f>
        <v>44407.136899999998</v>
      </c>
      <c r="K6" s="12">
        <v>8838</v>
      </c>
      <c r="L6" s="31">
        <v>18118</v>
      </c>
      <c r="M6" s="17" t="s">
        <v>49</v>
      </c>
      <c r="N6" s="33" t="s">
        <v>47</v>
      </c>
      <c r="O6" s="12">
        <v>1920</v>
      </c>
      <c r="P6" s="12">
        <v>0</v>
      </c>
      <c r="Q6" s="12">
        <v>0</v>
      </c>
      <c r="R6" s="12">
        <v>0</v>
      </c>
      <c r="S6" s="24">
        <f>J6-K6-P6-O6-R6-Q6</f>
        <v>33649.136899999998</v>
      </c>
      <c r="T6" s="15" t="s">
        <v>59</v>
      </c>
    </row>
    <row r="7" spans="1:20" x14ac:dyDescent="0.3">
      <c r="A7" s="4" t="s">
        <v>2</v>
      </c>
      <c r="B7" s="4" t="s">
        <v>45</v>
      </c>
      <c r="C7" s="4" t="s">
        <v>46</v>
      </c>
      <c r="D7" s="20" t="s">
        <v>50</v>
      </c>
      <c r="E7" s="20" t="s">
        <v>43</v>
      </c>
      <c r="F7" s="12">
        <v>1646.05</v>
      </c>
      <c r="G7" s="12">
        <v>33</v>
      </c>
      <c r="H7" s="12">
        <v>33.35</v>
      </c>
      <c r="I7" s="12">
        <f t="shared" ref="I7" si="1">H7*F7</f>
        <v>54895.767500000002</v>
      </c>
      <c r="J7" s="12">
        <f t="shared" si="0"/>
        <v>45014.529349999997</v>
      </c>
      <c r="K7" s="12">
        <v>9329</v>
      </c>
      <c r="L7" s="31">
        <v>18119</v>
      </c>
      <c r="M7" s="17" t="s">
        <v>49</v>
      </c>
      <c r="N7" s="34" t="s">
        <v>47</v>
      </c>
      <c r="O7" s="12">
        <v>1920</v>
      </c>
      <c r="P7" s="12">
        <v>0</v>
      </c>
      <c r="Q7" s="12">
        <v>0</v>
      </c>
      <c r="R7" s="12">
        <v>0</v>
      </c>
      <c r="S7" s="24">
        <f t="shared" ref="S7" si="2">J7-K7-P7-O7-R7-Q7</f>
        <v>33765.529349999997</v>
      </c>
      <c r="T7" s="15" t="s">
        <v>59</v>
      </c>
    </row>
    <row r="8" spans="1:20" x14ac:dyDescent="0.3">
      <c r="A8" s="4" t="s">
        <v>2</v>
      </c>
      <c r="B8" s="4" t="s">
        <v>54</v>
      </c>
      <c r="C8" s="4" t="s">
        <v>7</v>
      </c>
      <c r="D8" s="20" t="s">
        <v>56</v>
      </c>
      <c r="E8" s="20"/>
      <c r="F8" s="12">
        <v>1900</v>
      </c>
      <c r="G8" s="12">
        <v>36.68</v>
      </c>
      <c r="H8" s="12"/>
      <c r="I8" s="12"/>
      <c r="J8" s="12"/>
      <c r="K8" s="12"/>
      <c r="L8" s="28"/>
      <c r="M8" s="17"/>
      <c r="N8" s="34"/>
      <c r="O8" s="12"/>
      <c r="P8" s="12"/>
      <c r="Q8" s="12"/>
      <c r="R8" s="12"/>
      <c r="S8" s="12"/>
      <c r="T8" s="15"/>
    </row>
    <row r="9" spans="1:20" x14ac:dyDescent="0.3">
      <c r="A9" s="4" t="s">
        <v>3</v>
      </c>
      <c r="B9" s="4" t="s">
        <v>54</v>
      </c>
      <c r="C9" s="4" t="s">
        <v>7</v>
      </c>
      <c r="D9" s="20" t="s">
        <v>56</v>
      </c>
      <c r="E9" s="26"/>
      <c r="F9" s="12">
        <v>1900</v>
      </c>
      <c r="G9" s="12">
        <v>35.54</v>
      </c>
      <c r="H9" s="12"/>
      <c r="I9" s="12"/>
      <c r="J9" s="12"/>
      <c r="K9" s="12"/>
      <c r="L9" s="28"/>
      <c r="M9" s="17"/>
      <c r="N9" s="33"/>
      <c r="O9" s="12"/>
      <c r="P9" s="12"/>
      <c r="Q9" s="12"/>
      <c r="R9" s="12"/>
      <c r="S9" s="12"/>
      <c r="T9" s="4"/>
    </row>
  </sheetData>
  <phoneticPr fontId="7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935-4A1C-424C-8FF4-21A1DD068D7A}">
  <dimension ref="A1:T17"/>
  <sheetViews>
    <sheetView workbookViewId="0">
      <selection activeCell="D14" sqref="D14"/>
    </sheetView>
  </sheetViews>
  <sheetFormatPr defaultColWidth="9.5546875" defaultRowHeight="12" customHeight="1" x14ac:dyDescent="0.3"/>
  <cols>
    <col min="1" max="1" width="9" bestFit="1" customWidth="1"/>
    <col min="2" max="2" width="12.33203125" bestFit="1" customWidth="1"/>
    <col min="3" max="3" width="21" bestFit="1" customWidth="1"/>
    <col min="4" max="4" width="12" style="25" bestFit="1" customWidth="1"/>
    <col min="5" max="5" width="14.33203125" style="25" bestFit="1" customWidth="1"/>
    <col min="6" max="6" width="17.77734375" style="22" bestFit="1" customWidth="1"/>
    <col min="7" max="8" width="19.5546875" style="22" bestFit="1" customWidth="1"/>
    <col min="9" max="9" width="22.77734375" style="22" bestFit="1" customWidth="1"/>
    <col min="10" max="10" width="23.44140625" style="22" bestFit="1" customWidth="1"/>
    <col min="11" max="11" width="20.5546875" style="22" bestFit="1" customWidth="1"/>
    <col min="12" max="12" width="19.88671875" style="30" bestFit="1" customWidth="1"/>
    <col min="13" max="13" width="13.21875" style="30" bestFit="1" customWidth="1"/>
    <col min="14" max="14" width="12.109375" style="35" bestFit="1" customWidth="1"/>
    <col min="15" max="15" width="16.88671875" style="22" bestFit="1" customWidth="1"/>
    <col min="16" max="16" width="22" style="22" bestFit="1" customWidth="1"/>
    <col min="17" max="17" width="7.6640625" style="22" bestFit="1" customWidth="1"/>
    <col min="18" max="18" width="13.5546875" style="22" bestFit="1" customWidth="1"/>
    <col min="19" max="19" width="11.109375" style="22" bestFit="1" customWidth="1"/>
    <col min="20" max="20" width="16.77734375" bestFit="1" customWidth="1"/>
  </cols>
  <sheetData>
    <row r="1" spans="1:20" ht="12" customHeight="1" x14ac:dyDescent="0.3">
      <c r="A1" s="18" t="s">
        <v>17</v>
      </c>
      <c r="B1" s="18" t="s">
        <v>0</v>
      </c>
      <c r="C1" s="18" t="s">
        <v>5</v>
      </c>
      <c r="D1" s="23" t="s">
        <v>11</v>
      </c>
      <c r="E1" s="23" t="s">
        <v>10</v>
      </c>
      <c r="F1" s="21" t="s">
        <v>13</v>
      </c>
      <c r="G1" s="21" t="s">
        <v>12</v>
      </c>
      <c r="H1" s="21" t="s">
        <v>12</v>
      </c>
      <c r="I1" s="21" t="s">
        <v>14</v>
      </c>
      <c r="J1" s="19" t="s">
        <v>38</v>
      </c>
      <c r="K1" s="19" t="s">
        <v>9</v>
      </c>
      <c r="L1" s="27" t="s">
        <v>53</v>
      </c>
      <c r="M1" s="21" t="s">
        <v>15</v>
      </c>
      <c r="N1" s="32" t="s">
        <v>48</v>
      </c>
      <c r="O1" s="19" t="s">
        <v>16</v>
      </c>
      <c r="P1" s="19" t="s">
        <v>20</v>
      </c>
      <c r="Q1" s="19" t="s">
        <v>44</v>
      </c>
      <c r="R1" s="19" t="s">
        <v>30</v>
      </c>
      <c r="S1" s="19" t="s">
        <v>21</v>
      </c>
      <c r="T1" s="18" t="s">
        <v>1</v>
      </c>
    </row>
    <row r="2" spans="1:20" ht="12" customHeight="1" x14ac:dyDescent="0.3">
      <c r="A2" s="4"/>
      <c r="B2" s="4"/>
      <c r="C2" s="4"/>
      <c r="D2" s="20"/>
      <c r="E2" s="20"/>
      <c r="F2" s="12"/>
      <c r="G2" s="12"/>
      <c r="H2" s="12"/>
      <c r="I2" s="12"/>
      <c r="J2" s="12"/>
      <c r="K2" s="12"/>
      <c r="L2" s="28"/>
      <c r="M2" s="17"/>
      <c r="N2" s="34"/>
      <c r="O2" s="12"/>
      <c r="P2" s="12"/>
      <c r="Q2" s="12"/>
      <c r="R2" s="12"/>
      <c r="S2" s="12"/>
      <c r="T2" s="15"/>
    </row>
    <row r="3" spans="1:20" ht="12" customHeight="1" x14ac:dyDescent="0.3">
      <c r="A3" s="4"/>
      <c r="B3" s="4"/>
      <c r="C3" s="4"/>
      <c r="D3" s="26"/>
      <c r="E3" s="26"/>
      <c r="F3" s="12"/>
      <c r="G3" s="12"/>
      <c r="H3" s="12"/>
      <c r="I3" s="12"/>
      <c r="J3" s="12"/>
      <c r="K3" s="12"/>
      <c r="L3" s="28"/>
      <c r="M3" s="17"/>
      <c r="N3" s="33"/>
      <c r="O3" s="12"/>
      <c r="P3" s="12"/>
      <c r="Q3" s="12"/>
      <c r="R3" s="12"/>
      <c r="S3" s="12"/>
      <c r="T3" s="4"/>
    </row>
    <row r="4" spans="1:20" ht="12" customHeight="1" x14ac:dyDescent="0.3">
      <c r="A4" s="4"/>
      <c r="B4" s="4"/>
      <c r="C4" s="4"/>
      <c r="D4" s="26"/>
      <c r="E4" s="26"/>
      <c r="F4" s="12"/>
      <c r="G4" s="12"/>
      <c r="H4" s="12"/>
      <c r="I4" s="12"/>
      <c r="J4" s="12"/>
      <c r="K4" s="12"/>
      <c r="L4" s="28"/>
      <c r="M4" s="28"/>
      <c r="N4" s="33"/>
      <c r="O4" s="12"/>
      <c r="P4" s="12"/>
      <c r="Q4" s="12"/>
      <c r="R4" s="12"/>
      <c r="S4" s="12"/>
      <c r="T4" s="4"/>
    </row>
    <row r="5" spans="1:20" ht="12" customHeight="1" x14ac:dyDescent="0.3">
      <c r="A5" s="4"/>
      <c r="B5" s="4"/>
      <c r="C5" s="4"/>
      <c r="D5" s="26"/>
      <c r="E5" s="26"/>
      <c r="F5" s="12"/>
      <c r="G5" s="12"/>
      <c r="H5" s="12"/>
      <c r="I5" s="12"/>
      <c r="J5" s="12"/>
      <c r="K5" s="12"/>
      <c r="L5" s="28"/>
      <c r="M5" s="28"/>
      <c r="N5" s="33"/>
      <c r="O5" s="12"/>
      <c r="P5" s="12"/>
      <c r="Q5" s="12"/>
      <c r="R5" s="12"/>
      <c r="S5" s="12"/>
      <c r="T5" s="4"/>
    </row>
    <row r="6" spans="1:20" ht="12" customHeight="1" x14ac:dyDescent="0.3">
      <c r="A6" s="4"/>
      <c r="B6" s="4"/>
      <c r="C6" s="4"/>
      <c r="D6" s="26"/>
      <c r="E6" s="26"/>
      <c r="F6" s="12"/>
      <c r="G6" s="12"/>
      <c r="H6" s="12"/>
      <c r="I6" s="12"/>
      <c r="J6" s="12"/>
      <c r="K6" s="12"/>
      <c r="L6" s="28"/>
      <c r="M6" s="28"/>
      <c r="N6" s="33"/>
      <c r="O6" s="12"/>
      <c r="P6" s="12"/>
      <c r="Q6" s="12"/>
      <c r="R6" s="12"/>
      <c r="S6" s="12"/>
      <c r="T6" s="4"/>
    </row>
    <row r="7" spans="1:20" ht="12" customHeight="1" x14ac:dyDescent="0.3">
      <c r="A7" s="4"/>
      <c r="B7" s="4"/>
      <c r="C7" s="4"/>
      <c r="D7" s="26"/>
      <c r="E7" s="26"/>
      <c r="F7" s="12"/>
      <c r="G7" s="12"/>
      <c r="H7" s="12"/>
      <c r="I7" s="12"/>
      <c r="J7" s="12"/>
      <c r="K7" s="12"/>
      <c r="L7" s="28"/>
      <c r="M7" s="28"/>
      <c r="N7" s="33"/>
      <c r="O7" s="12"/>
      <c r="P7" s="12"/>
      <c r="Q7" s="12"/>
      <c r="R7" s="12"/>
      <c r="S7" s="12"/>
      <c r="T7" s="4"/>
    </row>
    <row r="8" spans="1:20" ht="12" customHeight="1" x14ac:dyDescent="0.3">
      <c r="A8" s="4"/>
      <c r="B8" s="4"/>
      <c r="C8" s="4"/>
      <c r="D8" s="26"/>
      <c r="E8" s="26"/>
      <c r="F8" s="12"/>
      <c r="G8" s="12"/>
      <c r="H8" s="12"/>
      <c r="I8" s="12"/>
      <c r="J8" s="12"/>
      <c r="K8" s="12"/>
      <c r="L8" s="28"/>
      <c r="M8" s="28"/>
      <c r="N8" s="33"/>
      <c r="O8" s="12"/>
      <c r="P8" s="12"/>
      <c r="Q8" s="12"/>
      <c r="R8" s="12"/>
      <c r="S8" s="12"/>
      <c r="T8" s="4"/>
    </row>
    <row r="9" spans="1:20" ht="12" customHeight="1" x14ac:dyDescent="0.3">
      <c r="A9" s="4"/>
      <c r="B9" s="4"/>
      <c r="C9" s="4"/>
      <c r="D9" s="26"/>
      <c r="E9" s="26"/>
      <c r="F9" s="12"/>
      <c r="G9" s="12"/>
      <c r="H9" s="12"/>
      <c r="I9" s="12"/>
      <c r="J9" s="12"/>
      <c r="K9" s="12"/>
      <c r="L9" s="28"/>
      <c r="M9" s="28"/>
      <c r="N9" s="33"/>
      <c r="O9" s="12"/>
      <c r="P9" s="12"/>
      <c r="Q9" s="12"/>
      <c r="R9" s="12"/>
      <c r="S9" s="12"/>
      <c r="T9" s="4"/>
    </row>
    <row r="10" spans="1:20" ht="12" customHeight="1" x14ac:dyDescent="0.3">
      <c r="A10" s="4"/>
      <c r="B10" s="4"/>
      <c r="C10" s="4"/>
      <c r="D10" s="26"/>
      <c r="E10" s="26"/>
      <c r="F10" s="12"/>
      <c r="G10" s="12"/>
      <c r="H10" s="12"/>
      <c r="I10" s="12"/>
      <c r="J10" s="12"/>
      <c r="K10" s="12"/>
      <c r="L10" s="28"/>
      <c r="M10" s="28"/>
      <c r="N10" s="33"/>
      <c r="O10" s="12"/>
      <c r="P10" s="12"/>
      <c r="Q10" s="12"/>
      <c r="R10" s="12"/>
      <c r="S10" s="12"/>
      <c r="T10" s="4"/>
    </row>
    <row r="11" spans="1:20" ht="12" customHeight="1" x14ac:dyDescent="0.3">
      <c r="A11" s="4"/>
      <c r="B11" s="4"/>
      <c r="C11" s="4"/>
      <c r="D11" s="26"/>
      <c r="E11" s="26"/>
      <c r="F11" s="12"/>
      <c r="G11" s="12"/>
      <c r="H11" s="12"/>
      <c r="I11" s="12"/>
      <c r="J11" s="12"/>
      <c r="K11" s="12"/>
      <c r="L11" s="28"/>
      <c r="M11" s="28"/>
      <c r="N11" s="33"/>
      <c r="O11" s="12"/>
      <c r="P11" s="12"/>
      <c r="Q11" s="12"/>
      <c r="R11" s="12"/>
      <c r="S11" s="12"/>
      <c r="T11" s="4"/>
    </row>
    <row r="12" spans="1:20" ht="12" customHeight="1" x14ac:dyDescent="0.3">
      <c r="A12" s="4"/>
      <c r="B12" s="4"/>
      <c r="C12" s="4"/>
      <c r="D12" s="26"/>
      <c r="E12" s="26"/>
      <c r="F12" s="12"/>
      <c r="G12" s="12"/>
      <c r="H12" s="12"/>
      <c r="I12" s="12"/>
      <c r="J12" s="12"/>
      <c r="K12" s="12"/>
      <c r="L12" s="28"/>
      <c r="M12" s="28"/>
      <c r="N12" s="33"/>
      <c r="O12" s="12"/>
      <c r="P12" s="12"/>
      <c r="Q12" s="12"/>
      <c r="R12" s="12"/>
      <c r="S12" s="12"/>
      <c r="T12" s="4"/>
    </row>
    <row r="13" spans="1:20" ht="12" customHeight="1" x14ac:dyDescent="0.3">
      <c r="A13" s="4"/>
      <c r="B13" s="4"/>
      <c r="C13" s="4"/>
      <c r="D13" s="26"/>
      <c r="E13" s="26"/>
      <c r="F13" s="12"/>
      <c r="G13" s="12"/>
      <c r="H13" s="12"/>
      <c r="I13" s="12"/>
      <c r="J13" s="12"/>
      <c r="K13" s="12"/>
      <c r="L13" s="28"/>
      <c r="M13" s="28"/>
      <c r="N13" s="33"/>
      <c r="O13" s="12"/>
      <c r="P13" s="12"/>
      <c r="Q13" s="12"/>
      <c r="R13" s="12"/>
      <c r="S13" s="12"/>
      <c r="T13" s="4"/>
    </row>
    <row r="14" spans="1:20" ht="12" customHeight="1" x14ac:dyDescent="0.3">
      <c r="A14" s="4"/>
      <c r="B14" s="4"/>
      <c r="C14" s="4"/>
      <c r="D14" s="26"/>
      <c r="E14" s="26"/>
      <c r="F14" s="12"/>
      <c r="G14" s="12"/>
      <c r="H14" s="12"/>
      <c r="I14" s="12"/>
      <c r="J14" s="12"/>
      <c r="K14" s="12"/>
      <c r="L14" s="28"/>
      <c r="M14" s="28"/>
      <c r="N14" s="33"/>
      <c r="O14" s="12"/>
      <c r="P14" s="12"/>
      <c r="Q14" s="12"/>
      <c r="R14" s="12"/>
      <c r="S14" s="12"/>
      <c r="T14" s="4"/>
    </row>
    <row r="15" spans="1:20" ht="12" customHeight="1" x14ac:dyDescent="0.3">
      <c r="A15" s="4"/>
      <c r="B15" s="4"/>
      <c r="C15" s="4"/>
      <c r="D15" s="26"/>
      <c r="E15" s="26"/>
      <c r="F15" s="12"/>
      <c r="G15" s="12"/>
      <c r="H15" s="12"/>
      <c r="I15" s="12"/>
      <c r="J15" s="12"/>
      <c r="K15" s="12"/>
      <c r="L15" s="28"/>
      <c r="M15" s="28"/>
      <c r="N15" s="33"/>
      <c r="O15" s="12"/>
      <c r="P15" s="12"/>
      <c r="Q15" s="12"/>
      <c r="R15" s="12"/>
      <c r="S15" s="12"/>
      <c r="T15" s="4"/>
    </row>
    <row r="16" spans="1:20" ht="12" customHeight="1" x14ac:dyDescent="0.3">
      <c r="A16" s="4"/>
      <c r="B16" s="4"/>
      <c r="C16" s="4"/>
      <c r="D16" s="26"/>
      <c r="E16" s="26"/>
      <c r="F16" s="12"/>
      <c r="G16" s="12"/>
      <c r="H16" s="12"/>
      <c r="I16" s="12"/>
      <c r="J16" s="12"/>
      <c r="K16" s="12"/>
      <c r="L16" s="28"/>
      <c r="M16" s="28"/>
      <c r="N16" s="33"/>
      <c r="O16" s="12"/>
      <c r="P16" s="12"/>
      <c r="Q16" s="12"/>
      <c r="R16" s="12"/>
      <c r="S16" s="12"/>
      <c r="T16" s="4"/>
    </row>
    <row r="17" spans="1:20" ht="12" customHeight="1" x14ac:dyDescent="0.3">
      <c r="A17" s="4"/>
      <c r="B17" s="4"/>
      <c r="C17" s="4"/>
      <c r="D17" s="26"/>
      <c r="E17" s="26"/>
      <c r="F17" s="12"/>
      <c r="G17" s="12"/>
      <c r="H17" s="12"/>
      <c r="I17" s="12"/>
      <c r="J17" s="12"/>
      <c r="K17" s="12"/>
      <c r="L17" s="28"/>
      <c r="M17" s="28"/>
      <c r="N17" s="33"/>
      <c r="O17" s="12"/>
      <c r="P17" s="12"/>
      <c r="Q17" s="12"/>
      <c r="R17" s="12"/>
      <c r="S17" s="12"/>
      <c r="T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</vt:lpstr>
      <vt:lpstr>JUNE</vt:lpstr>
      <vt:lpstr>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2026-05-23T19:32:20Z</dcterms:created>
  <dcterms:modified xsi:type="dcterms:W3CDTF">2026-06-24T09:16:24Z</dcterms:modified>
</cp:coreProperties>
</file>